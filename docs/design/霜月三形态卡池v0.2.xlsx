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cdc96ebb0a1484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方案与规则" sheetId="1" r:id="R5573990d0f9c4d62"/>
    <x:sheet xmlns:r="http://schemas.openxmlformats.org/officeDocument/2006/relationships" name="64张卡牌" sheetId="2" r:id="Rd34e292efda94db6"/>
    <x:sheet xmlns:r="http://schemas.openxmlformats.org/officeDocument/2006/relationships" name="逐组审阅" sheetId="3" r:id="R384c6a182b2a4910"/>
    <x:sheet xmlns:r="http://schemas.openxmlformats.org/officeDocument/2006/relationships" name="样例卡组" sheetId="4" r:id="Rd56b0665305541d4"/>
    <x:sheet xmlns:r="http://schemas.openxmlformats.org/officeDocument/2006/relationships" name="参数与算术" sheetId="5" r:id="R3257b135b1d24f54"/>
    <x:sheet xmlns:r="http://schemas.openxmlformats.org/officeDocument/2006/relationships" name="衍生与来源" sheetId="6" r:id="R48354e6df5fb4d6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%"/>
  </x:numFmts>
  <x:fonts count="7">
    <x:font>
      <x:sz val="11"/>
      <x:name val="Carlito"/>
    </x:font>
    <x:font>
      <x:sz val="11"/>
      <x:color rgb="FF253047"/>
      <x:name val="Arial"/>
    </x:font>
    <x:font>
      <x:b/>
      <x:sz val="16"/>
      <x:color rgb="FF29334D"/>
      <x:name val="Arial"/>
    </x:font>
    <x:font>
      <x:i/>
      <x:sz val="11"/>
      <x:color rgb="FF657087"/>
      <x:name val="Arial"/>
    </x:font>
    <x:font>
      <x:b/>
      <x:sz val="11"/>
      <x:color rgb="FF65518C"/>
      <x:name val="Arial"/>
    </x:font>
    <x:font>
      <x:b/>
      <x:sz val="11"/>
      <x:color rgb="FFFFFFFF"/>
      <x:name val="Arial"/>
    </x:font>
    <x:font>
      <x:b/>
      <x:sz val="14"/>
      <x:color rgb="FF29334D"/>
      <x:name val="Arial"/>
    </x:font>
  </x:fonts>
  <x:fills count="9">
    <x:fill>
      <x:patternFill patternType="none"/>
    </x:fill>
    <x:fill>
      <x:patternFill patternType="gray125"/>
    </x:fill>
    <x:fill>
      <x:patternFill patternType="solid">
        <x:fgColor rgb="FFF1EDF7"/>
      </x:patternFill>
    </x:fill>
    <x:fill>
      <x:patternFill patternType="solid">
        <x:fgColor rgb="FFF5F7FA"/>
      </x:patternFill>
    </x:fill>
    <x:fill>
      <x:patternFill patternType="solid">
        <x:fgColor rgb="FF29334D"/>
      </x:patternFill>
    </x:fill>
    <x:fill>
      <x:patternFill patternType="solid">
        <x:fgColor rgb="FFE8F2F6"/>
      </x:patternFill>
    </x:fill>
    <x:fill>
      <x:patternFill patternType="solid">
        <x:fgColor rgb="FFFFF1CC"/>
      </x:patternFill>
    </x:fill>
    <x:fill>
      <x:patternFill patternType="solid">
        <x:fgColor rgb="FF65518C"/>
      </x:patternFill>
    </x:fill>
    <x:fill>
      <x:patternFill patternType="solid">
        <x:fgColor rgb="FFF6E9ED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D8DDE6"/>
      </x:bottom>
      <x:diagonal/>
    </x:border>
  </x:borders>
  <x:cellStyleXfs count="1">
    <x:xf numFmtId="0" fontId="0" fillId="0" borderId="0"/>
  </x:cellStyleXfs>
  <x:cellXfs count="3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0"/>
    </x:xf>
    <x:xf numFmtId="0" fontId="3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0"/>
    </x:xf>
    <x:xf numFmtId="0" fontId="1" fillId="0" borderId="1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4" fillId="4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0" fontId="5" fillId="4" borderId="0" xfId="0" applyNumberFormat="1" applyFont="1" applyFill="1" applyBorder="1" applyAlignment="1">
      <x:alignment vertical="center" wrapText="1"/>
    </x:xf>
    <x:xf numFmtId="0" fontId="5" fillId="4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0" fontId="1" fillId="3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horizontal="right" vertical="center" wrapText="1"/>
    </x:xf>
    <x:xf numFmtId="200" fontId="1" fillId="3" borderId="0" xfId="0" applyNumberFormat="1" applyFont="1" applyFill="1" applyBorder="1" applyAlignment="1">
      <x:alignment horizontal="right" vertical="center" wrapText="1"/>
    </x:xf>
    <x:xf numFmtId="0" fontId="4" fillId="5" borderId="0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vertical="center" wrapText="1"/>
    </x:xf>
    <x:xf numFmtId="0" fontId="1" fillId="6" borderId="0" xfId="0" applyNumberFormat="1" applyFont="1" applyFill="1" applyBorder="1" applyAlignment="1">
      <x:alignment vertical="center" wrapText="1"/>
    </x:xf>
    <x:xf numFmtId="200" fontId="1" fillId="6" borderId="0" xfId="0" applyNumberFormat="1" applyFont="1" applyFill="1" applyBorder="1" applyAlignment="1">
      <x:alignment vertical="center" wrapText="1"/>
    </x:xf>
    <x:xf numFmtId="0" fontId="1" fillId="7" borderId="0" xfId="0" applyNumberFormat="1" applyFont="1" applyFill="1" applyBorder="1" applyAlignment="1">
      <x:alignment vertical="center" wrapText="1"/>
    </x:xf>
    <x:xf numFmtId="0" fontId="5" fillId="7" borderId="0" xfId="0" applyNumberFormat="1" applyFont="1" applyFill="1" applyBorder="1" applyAlignment="1">
      <x:alignment vertical="center" wrapText="1"/>
    </x:xf>
    <x:xf numFmtId="0" fontId="5" fillId="7" borderId="0" xfId="0" applyNumberFormat="1" applyFont="1" applyFill="1" applyBorder="1" applyAlignment="1">
      <x:alignment vertical="center" wrapText="0"/>
    </x:xf>
    <x:xf numFmtId="200" fontId="1" fillId="0" borderId="0" xfId="0" applyNumberFormat="1" applyFont="1" applyFill="1" applyBorder="1" applyAlignment="1">
      <x:alignment horizontal="center" vertical="center" wrapText="1"/>
    </x:xf>
    <x:xf numFmtId="200" fontId="1" fillId="3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horizontal="center"/>
    </x:xf>
    <x:xf numFmtId="0" fontId="1" fillId="8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0"/>
    </x:xf>
    <x:xf numFmtId="0" fontId="6" fillId="0" borderId="0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 applyAlignment="1">
      <x:alignment vertical="center" wrapText="0"/>
    </x:xf>
    <x:xf numFmtId="201" fontId="1" fillId="6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48cdf571e1a4347" /><Relationship Type="http://schemas.openxmlformats.org/officeDocument/2006/relationships/theme" Target="/xl/theme/theme1.xml" Id="Rd7b08afb2ae6487c" /><Relationship Type="http://schemas.openxmlformats.org/officeDocument/2006/relationships/sharedStrings" Target="/xl/sharedStrings.xml" Id="R9f7b01d981c94bbe" /><Relationship Type="http://schemas.openxmlformats.org/officeDocument/2006/relationships/worksheet" Target="/xl/worksheets/sheet1.xml" Id="R5573990d0f9c4d62" /><Relationship Type="http://schemas.openxmlformats.org/officeDocument/2006/relationships/worksheet" Target="/xl/worksheets/sheet2.xml" Id="Rd34e292efda94db6" /><Relationship Type="http://schemas.openxmlformats.org/officeDocument/2006/relationships/worksheet" Target="/xl/worksheets/sheet3.xml" Id="R384c6a182b2a4910" /><Relationship Type="http://schemas.openxmlformats.org/officeDocument/2006/relationships/worksheet" Target="/xl/worksheets/sheet4.xml" Id="Rd56b0665305541d4" /><Relationship Type="http://schemas.openxmlformats.org/officeDocument/2006/relationships/worksheet" Target="/xl/worksheets/sheet5.xml" Id="R3257b135b1d24f54" /><Relationship Type="http://schemas.openxmlformats.org/officeDocument/2006/relationships/worksheet" Target="/xl/worksheets/sheet6.xml" Id="R48354e6df5fb4d6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65518C"/>
  </x:sheetPr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20" hidden="0" customWidth="1"/>
    <x:col min="2" max="2" width="34.439998626708984" hidden="0" customWidth="1"/>
    <x:col min="3" max="3" width="77.77999877929688" hidden="0" customWidth="1"/>
    <x:col min="4" max="4" width="35.560001373291016" hidden="0" customWidth="1"/>
  </x:cols>
  <x:sheetData>
    <x:row r="1" ht="32" customHeight="1">
      <x:c r="A1" s="5" t="str">
        <x:v>霜月 v0.2 · 冰 月 血月</x:v>
      </x:c>
      <x:c r="B1" s="3"/>
      <x:c r="C1" s="3"/>
      <x:c r="D1" s="3"/>
    </x:row>
    <x:row r="2" ht="25" customHeight="1">
      <x:c r="A2" s="7" t="str">
        <x:v>推荐：冰月用卡牌主动切换，血月在低生命时自动触发｜64张角色牌 + 2张衍生牌 + 4套20张样例</x:v>
      </x:c>
      <x:c r="B2" s="3"/>
      <x:c r="C2" s="3"/>
      <x:c r="D2" s="3"/>
    </x:row>
    <x:row r="3" ht="25" customHeight="1">
      <x:c r="A3" s="8"/>
      <x:c r="B3" s="8"/>
      <x:c r="C3" s="8"/>
      <x:c r="D3" s="8"/>
    </x:row>
    <x:row r="4" ht="25" customHeight="1">
      <x:c r="A4" s="7" t="str">
        <x:v>先审形态、恢复和触发时序，再改单卡。当前不保留旧版自动进入超然的第四状态。</x:v>
      </x:c>
      <x:c r="B4" s="3"/>
      <x:c r="C4" s="3"/>
      <x:c r="D4" s="3"/>
    </x:row>
    <x:row r="6" ht="32" customHeight="1">
      <x:c r="A6" s="15" t="str">
        <x:v>形态</x:v>
      </x:c>
      <x:c r="B6" s="15" t="str">
        <x:v>主要动作</x:v>
      </x:c>
      <x:c r="C6" s="15" t="str">
        <x:v>收益与边界</x:v>
      </x:c>
    </x:row>
    <x:row r="7" ht="28" customHeight="1">
      <x:c r="A7" s="21" t="str">
        <x:v>冰</x:v>
      </x:c>
      <x:c r="B7" s="21" t="str">
        <x:v>打技能蓄霜，利用月蚀恢复</x:v>
      </x:c>
      <x:c r="C7" s="21" t="str">
        <x:v>前2张技能各产1霜；首次月蚀回生2。</x:v>
      </x:c>
    </x:row>
    <x:row r="8" ht="28" customHeight="1">
      <x:c r="A8" s="11" t="str">
        <x:v>月</x:v>
      </x:c>
      <x:c r="B8" s="11" t="str">
        <x:v>付少量血并花霜加速叠痕</x:v>
      </x:c>
      <x:c r="C8" s="11" t="str">
        <x:v>前2张单体攻击各付1生命补1痕；若消耗1霜，再补1痕。</x:v>
      </x:c>
    </x:row>
    <x:row r="9" ht="28" customHeight="1">
      <x:c r="A9" s="30" t="str">
        <x:v>血月</x:v>
      </x:c>
      <x:c r="B9" s="30" t="str">
        <x:v>兑现已准备的攻击与月蚀</x:v>
      </x:c>
      <x:c r="C9" s="30" t="str">
        <x:v>攻击和月蚀×2，只持续本回合；结束回冰，下回合获得余烬覆雪。</x:v>
      </x:c>
    </x:row>
    <x:row r="12" ht="32" customHeight="1">
      <x:c r="A12" s="15" t="str">
        <x:v>规则主题</x:v>
      </x:c>
      <x:c r="B12" s="15" t="str">
        <x:v>决定</x:v>
      </x:c>
      <x:c r="C12" s="15" t="str">
        <x:v>完整口径</x:v>
      </x:c>
    </x:row>
    <x:row r="13" ht="44" customHeight="1">
      <x:c r="A13" s="3" t="str">
        <x:v>形态选择</x:v>
      </x:c>
      <x:c r="B13" s="3" t="str">
        <x:v>推荐混合制</x:v>
      </x:c>
      <x:c r="C13" s="3" t="str">
        <x:v>冰与月只由卡牌主动切换；血月由低生命自动开启。霜达到上限不会切换。v0.1的超然并入三形态设计，不再保留第四个强化状态。</x:v>
      </x:c>
    </x:row>
    <x:row r="14" ht="44" customHeight="1">
      <x:c r="A14" s="11" t="str">
        <x:v>初始状态</x:v>
      </x:c>
      <x:c r="B14" s="11" t="str">
        <x:v>冰</x:v>
      </x:c>
      <x:c r="C14" s="11" t="str">
        <x:v>72最大生命、3能量、5张基础抽牌；初始牌10张。初始遗物双相佩提供开战2霜与每回合首次冰月主动切换的3格挡。</x:v>
      </x:c>
    </x:row>
    <x:row r="15" ht="44" customHeight="1">
      <x:c r="A15" s="3" t="str">
        <x:v>冰</x:v>
      </x:c>
      <x:c r="B15" s="3" t="str">
        <x:v>蓄霜与恢复</x:v>
      </x:c>
      <x:c r="C15" s="3" t="str">
        <x:v>每回合前2张在冰形态开始结算的技能牌，牌面结束后各获得1霜。当前处于冰时，每回合首次自己的月蚀结束后回生2。</x:v>
      </x:c>
    </x:row>
    <x:row r="16" ht="44" customHeight="1">
      <x:c r="A16" s="11" t="str">
        <x:v>月</x:v>
      </x:c>
      <x:c r="B16" s="11" t="str">
        <x:v>付血与铺痕</x:v>
      </x:c>
      <x:c r="C16" s="11" t="str">
        <x:v>每回合前2张在月形态开始结算的单体攻击，额外支付1生命；有霜则先消耗1霜。牌面后对原目标追加1月痕，若消耗了霜再加1。</x:v>
      </x:c>
    </x:row>
    <x:row r="17" ht="44" customHeight="1">
      <x:c r="A17" s="3" t="str">
        <x:v>血月</x:v>
      </x:c>
      <x:c r="B17" s="3" t="str">
        <x:v>当回合伤害窗口</x:v>
      </x:c>
      <x:c r="C17" s="3" t="str">
        <x:v>攻击牌伤害与自己月蚀每击伤害乘2。冰月的形态被动暂停，其他能力照常。不额外加能量、抽牌、易伤或治疗。</x:v>
      </x:c>
    </x:row>
    <x:row r="18" ht="44" customHeight="1">
      <x:c r="A18" s="11" t="str">
        <x:v>霜</x:v>
      </x:c>
      <x:c r="B18" s="11" t="str">
        <x:v>玩家资源</x:v>
      </x:c>
      <x:c r="C18" s="11" t="str">
        <x:v>基础上限6，跨回合和切形态保留；溢出丢弃。卡牌可增加上限。达到上限不自动变身；战斗结束清除。</x:v>
      </x:c>
    </x:row>
    <x:row r="19" ht="44" customHeight="1">
      <x:c r="A19" s="3" t="str">
        <x:v>月痕</x:v>
      </x:c>
      <x:c r="B19" s="3" t="str">
        <x:v>敌方资源</x:v>
      </x:c>
      <x:c r="C19" s="3" t="str">
        <x:v>每个敌人独立、跨回合保留。达到8时扣8并结算一次月蚀；保留溢出，仍达阈值则继续，直到不足8或目标死亡。</x:v>
      </x:c>
    </x:row>
    <x:row r="20" ht="44" customHeight="1">
      <x:c r="A20" s="11" t="str">
        <x:v>月蚀</x:v>
      </x:c>
      <x:c r="B20" s="11" t="str">
        <x:v>多段效果伤害</x:v>
      </x:c>
      <x:c r="C20" s="11" t="str">
        <x:v>基础4击，每击4。不是出牌，也不是打出攻击。受目标格挡、无实体及伤害上限等保护限制；不吃力量、活力、虚弱、易伤。血月明确乘2。</x:v>
      </x:c>
    </x:row>
    <x:row r="21" ht="44" customHeight="1">
      <x:c r="A21" s="3" t="str">
        <x:v>血月触发</x:v>
      </x:c>
      <x:c r="B21" s="3" t="str">
        <x:v>生命不高于40%</x:v>
      </x:c>
      <x:c r="C21" s="3" t="str">
        <x:v>低线向下取整。必须存活、有触发资格、且不在禁触发回合。只在自己的回合开始流程后或一张牌完整结算后检查。</x:v>
      </x:c>
    </x:row>
    <x:row r="22" ht="44" customHeight="1">
      <x:c r="A22" s="11" t="str">
        <x:v>血月结束</x:v>
      </x:c>
      <x:c r="B22" s="11" t="str">
        <x:v>默认回冰</x:v>
      </x:c>
      <x:c r="C22" s="11" t="str">
        <x:v>本回合结束时退出到冰。主动打出入冰或入月的牌也可提前退出。每次退出只预约1张余烬覆雪，于下个自身回合开始时加入手牌。</x:v>
      </x:c>
    </x:row>
    <x:row r="23" ht="44" customHeight="1">
      <x:c r="A23" s="3" t="str">
        <x:v>血月再触发</x:v>
      </x:c>
      <x:c r="B23" s="3" t="str">
        <x:v>55%蓄势 加1回合间隔</x:v>
      </x:c>
      <x:c r="C23" s="3" t="str">
        <x:v>入场消耗触发资格；退出后生命达到向上取整的55%即重新蓄势。进入血月的下一个完整自身回合不能再次触发；额外回合也计数。</x:v>
      </x:c>
    </x:row>
    <x:row r="24" ht="44" customHeight="1">
      <x:c r="A24" s="11" t="str">
        <x:v>回生</x:v>
      </x:c>
      <x:c r="B24" s="11" t="str">
        <x:v>只能返还可回收生命</x:v>
      </x:c>
      <x:c r="C24" s="11" t="str">
        <x:v>主动付血增加可回收额度；敌伤、荆棘和负面状态掉血不增加。回生n最多恢复n、可回收额度和缺失生命的最小值。</x:v>
      </x:c>
    </x:row>
    <x:row r="25" ht="44" customHeight="1">
      <x:c r="A25" s="3" t="str">
        <x:v>真正治疗</x:v>
      </x:c>
      <x:c r="B25" s="3" t="str">
        <x:v>可治疗敌伤</x:v>
      </x:c>
      <x:c r="C25" s="3" t="str">
        <x:v>写“恢复生命”的效果是真正治疗；本卡池均为消耗牌。任何实际恢复都先冲销等量可回收额度，避免同一份自损重复领取。</x:v>
      </x:c>
    </x:row>
    <x:row r="26" ht="44" customHeight="1">
      <x:c r="A26" s="11" t="str">
        <x:v>支付生命</x:v>
      </x:c>
      <x:c r="B26" s="11" t="str">
        <x:v>非致命 全额支付</x:v>
      </x:c>
      <x:c r="C26" s="11" t="str">
        <x:v>有牌面生命支付时，当前生命必须严格大于代价；不足时不可打出且不扣资源。月的额外支付若无法与牌面代价同时安全支付，只跳过整个月被动。</x:v>
      </x:c>
    </x:row>
    <x:row r="27" ht="44" customHeight="1">
      <x:c r="A27" s="3" t="str">
        <x:v>形态快照</x:v>
      </x:c>
      <x:c r="B27" s="3" t="str">
        <x:v>一张牌一个分支</x:v>
      </x:c>
      <x:c r="C27" s="3" t="str">
        <x:v>开始结算时固定牌面分支和冰技能／月攻击资格。显式切换按牌面顺序执行；冰产霜与月附加月痕在牌面后结算，寒月返还等在这些被动之后。</x:v>
      </x:c>
    </x:row>
    <x:row r="28" ht="44" customHeight="1">
      <x:c r="A28" s="11" t="str">
        <x:v>次数限制</x:v>
      </x:c>
      <x:c r="B28" s="11" t="str">
        <x:v>按自己的整回合累计</x:v>
      </x:c>
      <x:c r="C28" s="11" t="str">
        <x:v>重新进入形态不刷新本回合的冰技能、月攻击、切换奖励或月蚀奖励次数。能力多副本可叠加收益，但不无限增加事件次数。</x:v>
      </x:c>
    </x:row>
    <x:row r="29" ht="44" customHeight="1">
      <x:c r="A29" s="3" t="str">
        <x:v>月痕交互</x:v>
      </x:c>
      <x:c r="B29" s="3" t="str">
        <x:v>人工制品与归属</x:v>
      </x:c>
      <x:c r="C29" s="3" t="str">
        <x:v>每个施加包作为一次减益请求，人工制品可抵挡；抵挡不返还支付。移除月痕换格挡或攻击不算月蚀。多人按来源玩家分别记录、消耗、领奖。</x:v>
      </x:c>
    </x:row>
    <x:row r="30" ht="44" customHeight="1">
      <x:c r="A30" s="11" t="str">
        <x:v>死亡与收尾</x:v>
      </x:c>
      <x:c r="B30" s="11" t="str">
        <x:v>先判玩家死亡</x:v>
      </x:c>
      <x:c r="C30" s="11" t="str">
        <x:v>玩家死亡终止后续回血。目标死亡取消该目标余下击数；已经结算的击数仍计数。最后敌人死亡后先结清当前牌及已触发月蚀的回血，再结束战斗，不继续开血月。</x:v>
      </x:c>
    </x:row>
    <x:row r="33" ht="25" customHeight="1">
      <x:c r="A33" s="32" t="str">
        <x:v>数值与卡池自检：28项规格和清单检查通过；未接入游戏、未测胜率。完整设计理由与时序例子见配套说明文档。</x:v>
      </x:c>
    </x:row>
    <x:row r="35" ht="32" customHeight="1">
      <x:c r="A35" s="15" t="str">
        <x:v>稀有度</x:v>
      </x:c>
      <x:c r="B35" s="15" t="str">
        <x:v>牌种数</x:v>
      </x:c>
      <x:c r="C35" s="15" t="str">
        <x:v>职责</x:v>
      </x:c>
    </x:row>
    <x:row r="36" ht="28" customHeight="1">
      <x:c r="A36" s="3" t="str">
        <x:v>初始</x:v>
      </x:c>
      <x:c r="B36" s="16" t="n">
        <x:f>COUNTIF('64张卡牌'!B7:BM7,A36)</x:f>
        <x:v>4</x:v>
      </x:c>
      <x:c r="C36" s="3" t="str">
        <x:v>10张初始实体牌由4种牌构成</x:v>
      </x:c>
    </x:row>
    <x:row r="37" ht="28" customHeight="1">
      <x:c r="A37" s="11" t="str">
        <x:v>普通</x:v>
      </x:c>
      <x:c r="B37" s="17" t="n">
        <x:f>COUNTIF('64张卡牌'!B7:BM7,A37)</x:f>
        <x:v>20</x:v>
      </x:c>
      <x:c r="C37" s="11" t="str">
        <x:v>基础供给、转换、攻防和抽牌</x:v>
      </x:c>
    </x:row>
    <x:row r="38" ht="28" customHeight="1">
      <x:c r="A38" s="3" t="str">
        <x:v>罕见</x:v>
      </x:c>
      <x:c r="B38" s="16" t="n">
        <x:f>COUNTIF('64张卡牌'!B7:BM7,A38)</x:f>
        <x:v>28</x:v>
      </x:c>
      <x:c r="C38" s="3" t="str">
        <x:v>构筑支点与有限触发回报</x:v>
      </x:c>
    </x:row>
    <x:row r="39" ht="28" customHeight="1">
      <x:c r="A39" s="11" t="str">
        <x:v>稀有</x:v>
      </x:c>
      <x:c r="B39" s="17" t="n">
        <x:f>COUNTIF('64张卡牌'!B7:BM7,A39)</x:f>
        <x:v>12</x:v>
      </x:c>
      <x:c r="C39" s="11" t="str">
        <x:v>成长、检索、击数变化与爆发</x:v>
      </x:c>
    </x:row>
    <x:row r="40" ht="28" customHeight="1">
      <x:c r="A40" s="3" t="str">
        <x:v>合计</x:v>
      </x:c>
      <x:c r="B40" s="16" t="n">
        <x:f>SUM(B36:B39)</x:f>
        <x:v>64</x:v>
      </x:c>
      <x:c r="C40" s="3" t="str">
        <x:v>不含2张衍生牌；升级版不另计一种</x:v>
      </x:c>
    </x:row>
    <x:row r="43" ht="32" customHeight="1">
      <x:c r="A43" s="15" t="str">
        <x:v>方案</x:v>
      </x:c>
      <x:c r="B43" s="15" t="str">
        <x:v>好处</x:v>
      </x:c>
      <x:c r="C43" s="15" t="str">
        <x:v>代价／决定</x:v>
      </x:c>
    </x:row>
    <x:row r="44" ht="44" customHeight="1">
      <x:c r="A44" s="3" t="str">
        <x:v>全部用卡牌切换</x:v>
      </x:c>
      <x:c r="B44" s="3" t="str">
        <x:v>操作最直接，进入时机完全可控。</x:v>
      </x:c>
      <x:c r="C44" s="3" t="str">
        <x:v>血月需要另一套入场牌，低生命容易沦为文本附注。 备选；若自动血月妨碍防御，可把血月改成低血时可用的衍生牌。</x:v>
      </x:c>
    </x:row>
    <x:row r="45" ht="44" customHeight="1">
      <x:c r="A45" s="11" t="str">
        <x:v>冰月都用层数自动切换</x:v>
      </x:c>
      <x:c r="B45" s="11" t="str">
        <x:v>循环方向强，手牌中入口牌需求较少。</x:v>
      </x:c>
      <x:c r="C45" s="11" t="str">
        <x:v>玩家可能在防御回合被强制送入烧血形态；再加低血血月后，有多个互相抢时点的阈值。 不作为本版默认；霜保留为可消费库存。</x:v>
      </x:c>
    </x:row>
    <x:row r="46" ht="44" customHeight="1">
      <x:c r="A46" s="3" t="str">
        <x:v>基础形态主动 血月自动</x:v>
      </x:c>
      <x:c r="B46" s="3" t="str">
        <x:v>冰月保留操作选择，生命线承担爆发条件。</x:v>
      </x:c>
      <x:c r="C46" s="3" t="str">
        <x:v>需要明确触发检查、持续时间、再次蓄势与回血边界。 本版推荐；先用16张核心牌验证，再扩展到64张。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65518C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20.559999465942383" hidden="0" customWidth="1"/>
    <x:col min="2" max="2" width="34.439998626708984" hidden="0" customWidth="1"/>
    <x:col min="3" max="3" width="34.439998626708984" hidden="0" customWidth="1"/>
    <x:col min="4" max="4" width="34.439998626708984" hidden="0" customWidth="1"/>
    <x:col min="5" max="5" width="34.439998626708984" hidden="0" customWidth="1"/>
    <x:col min="6" max="6" width="34.439998626708984" hidden="0" customWidth="1"/>
    <x:col min="7" max="7" width="34.439998626708984" hidden="0" customWidth="1"/>
    <x:col min="8" max="8" width="34.439998626708984" hidden="0" customWidth="1"/>
    <x:col min="9" max="9" width="34.439998626708984" hidden="0" customWidth="1"/>
    <x:col min="10" max="10" width="34.439998626708984" hidden="0" customWidth="1"/>
    <x:col min="11" max="11" width="34.439998626708984" hidden="0" customWidth="1"/>
    <x:col min="12" max="12" width="34.439998626708984" hidden="0" customWidth="1"/>
    <x:col min="13" max="13" width="34.439998626708984" hidden="0" customWidth="1"/>
    <x:col min="14" max="14" width="34.439998626708984" hidden="0" customWidth="1"/>
    <x:col min="15" max="15" width="34.439998626708984" hidden="0" customWidth="1"/>
    <x:col min="16" max="16" width="34.439998626708984" hidden="0" customWidth="1"/>
    <x:col min="17" max="17" width="34.439998626708984" hidden="0" customWidth="1"/>
    <x:col min="18" max="18" width="34.439998626708984" hidden="0" customWidth="1"/>
    <x:col min="19" max="19" width="34.439998626708984" hidden="0" customWidth="1"/>
    <x:col min="20" max="20" width="34.439998626708984" hidden="0" customWidth="1"/>
    <x:col min="21" max="21" width="34.439998626708984" hidden="0" customWidth="1"/>
    <x:col min="22" max="22" width="34.439998626708984" hidden="0" customWidth="1"/>
    <x:col min="23" max="23" width="34.439998626708984" hidden="0" customWidth="1"/>
    <x:col min="24" max="24" width="34.439998626708984" hidden="0" customWidth="1"/>
    <x:col min="25" max="25" width="34.439998626708984" hidden="0" customWidth="1"/>
    <x:col min="26" max="26" width="34.439998626708984" hidden="0" customWidth="1"/>
    <x:col min="27" max="27" width="34.439998626708984" hidden="0" customWidth="1"/>
    <x:col min="28" max="28" width="34.439998626708984" hidden="0" customWidth="1"/>
    <x:col min="29" max="29" width="34.439998626708984" hidden="0" customWidth="1"/>
    <x:col min="30" max="30" width="34.439998626708984" hidden="0" customWidth="1"/>
    <x:col min="31" max="31" width="34.439998626708984" hidden="0" customWidth="1"/>
    <x:col min="32" max="32" width="34.439998626708984" hidden="0" customWidth="1"/>
    <x:col min="33" max="33" width="34.439998626708984" hidden="0" customWidth="1"/>
    <x:col min="34" max="34" width="34.439998626708984" hidden="0" customWidth="1"/>
    <x:col min="35" max="35" width="34.439998626708984" hidden="0" customWidth="1"/>
    <x:col min="36" max="36" width="34.439998626708984" hidden="0" customWidth="1"/>
    <x:col min="37" max="37" width="34.439998626708984" hidden="0" customWidth="1"/>
    <x:col min="38" max="38" width="34.439998626708984" hidden="0" customWidth="1"/>
    <x:col min="39" max="39" width="34.439998626708984" hidden="0" customWidth="1"/>
    <x:col min="40" max="40" width="34.439998626708984" hidden="0" customWidth="1"/>
    <x:col min="41" max="41" width="34.439998626708984" hidden="0" customWidth="1"/>
    <x:col min="42" max="42" width="34.439998626708984" hidden="0" customWidth="1"/>
    <x:col min="43" max="43" width="34.439998626708984" hidden="0" customWidth="1"/>
    <x:col min="44" max="44" width="34.439998626708984" hidden="0" customWidth="1"/>
    <x:col min="45" max="45" width="34.439998626708984" hidden="0" customWidth="1"/>
    <x:col min="46" max="46" width="34.439998626708984" hidden="0" customWidth="1"/>
    <x:col min="47" max="47" width="34.439998626708984" hidden="0" customWidth="1"/>
    <x:col min="48" max="48" width="34.439998626708984" hidden="0" customWidth="1"/>
    <x:col min="49" max="49" width="34.439998626708984" hidden="0" customWidth="1"/>
    <x:col min="50" max="50" width="34.439998626708984" hidden="0" customWidth="1"/>
    <x:col min="51" max="51" width="34.439998626708984" hidden="0" customWidth="1"/>
    <x:col min="52" max="52" width="34.439998626708984" hidden="0" customWidth="1"/>
    <x:col min="53" max="53" width="34.439998626708984" hidden="0" customWidth="1"/>
    <x:col min="54" max="54" width="34.439998626708984" hidden="0" customWidth="1"/>
    <x:col min="55" max="55" width="34.439998626708984" hidden="0" customWidth="1"/>
    <x:col min="56" max="56" width="34.439998626708984" hidden="0" customWidth="1"/>
    <x:col min="57" max="57" width="34.439998626708984" hidden="0" customWidth="1"/>
    <x:col min="58" max="58" width="34.439998626708984" hidden="0" customWidth="1"/>
    <x:col min="59" max="59" width="34.439998626708984" hidden="0" customWidth="1"/>
    <x:col min="60" max="60" width="34.439998626708984" hidden="0" customWidth="1"/>
    <x:col min="61" max="61" width="34.439998626708984" hidden="0" customWidth="1"/>
    <x:col min="62" max="62" width="34.439998626708984" hidden="0" customWidth="1"/>
    <x:col min="63" max="63" width="34.439998626708984" hidden="0" customWidth="1"/>
    <x:col min="64" max="64" width="34.439998626708984" hidden="0" customWidth="1"/>
    <x:col min="65" max="65" width="34.439998626708984" hidden="0" customWidth="1"/>
  </x:cols>
  <x:sheetData>
    <x:row r="1" ht="32" customHeight="1">
      <x:c r="A1" s="5" t="str">
        <x:v>霜月 v0.2 · 64 张原创牌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  <x:c r="AA1" s="3"/>
      <x:c r="AB1" s="3"/>
      <x:c r="AC1" s="3"/>
      <x:c r="AD1" s="3"/>
      <x:c r="AE1" s="3"/>
      <x:c r="AF1" s="3"/>
      <x:c r="AG1" s="3"/>
      <x:c r="AH1" s="3"/>
      <x:c r="AI1" s="3"/>
      <x:c r="AJ1" s="3"/>
      <x:c r="AK1" s="3"/>
      <x:c r="AL1" s="3"/>
      <x:c r="AM1" s="3"/>
      <x:c r="AN1" s="3"/>
      <x:c r="AO1" s="3"/>
      <x:c r="AP1" s="3"/>
      <x:c r="AQ1" s="3"/>
      <x:c r="AR1" s="3"/>
      <x:c r="AS1" s="3"/>
      <x:c r="AT1" s="3"/>
      <x:c r="AU1" s="3"/>
      <x:c r="AV1" s="3"/>
      <x:c r="AW1" s="3"/>
      <x:c r="AX1" s="3"/>
      <x:c r="AY1" s="3"/>
      <x:c r="AZ1" s="3"/>
      <x:c r="BA1" s="3"/>
      <x:c r="BB1" s="3"/>
      <x:c r="BC1" s="3"/>
      <x:c r="BD1" s="3"/>
      <x:c r="BE1" s="3"/>
      <x:c r="BF1" s="3"/>
      <x:c r="BG1" s="3"/>
      <x:c r="BH1" s="3"/>
      <x:c r="BI1" s="3"/>
      <x:c r="BJ1" s="3"/>
      <x:c r="BK1" s="3"/>
      <x:c r="BL1" s="3"/>
      <x:c r="BM1" s="3"/>
    </x:row>
    <x:row r="2" ht="25" customHeight="1">
      <x:c r="A2" s="7" t="str">
        <x:v>2026-10-06｜全部是待审阅的设计种子｜属性纵排、每张卡占一列｜黄色格用于你的修改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  <x:c r="S2" s="3"/>
      <x:c r="T2" s="3"/>
      <x:c r="U2" s="3"/>
      <x:c r="V2" s="3"/>
      <x:c r="W2" s="3"/>
      <x:c r="X2" s="3"/>
      <x:c r="Y2" s="3"/>
      <x:c r="Z2" s="3"/>
      <x:c r="AA2" s="3"/>
      <x:c r="AB2" s="3"/>
      <x:c r="AC2" s="3"/>
      <x:c r="AD2" s="3"/>
      <x:c r="AE2" s="3"/>
      <x:c r="AF2" s="3"/>
      <x:c r="AG2" s="3"/>
      <x:c r="AH2" s="3"/>
      <x:c r="AI2" s="3"/>
      <x:c r="AJ2" s="3"/>
      <x:c r="AK2" s="3"/>
      <x:c r="AL2" s="3"/>
      <x:c r="AM2" s="3"/>
      <x:c r="AN2" s="3"/>
      <x:c r="AO2" s="3"/>
      <x:c r="AP2" s="3"/>
      <x:c r="AQ2" s="3"/>
      <x:c r="AR2" s="3"/>
      <x:c r="AS2" s="3"/>
      <x:c r="AT2" s="3"/>
      <x:c r="AU2" s="3"/>
      <x:c r="AV2" s="3"/>
      <x:c r="AW2" s="3"/>
      <x:c r="AX2" s="3"/>
      <x:c r="AY2" s="3"/>
      <x:c r="AZ2" s="3"/>
      <x:c r="BA2" s="3"/>
      <x:c r="BB2" s="3"/>
      <x:c r="BC2" s="3"/>
      <x:c r="BD2" s="3"/>
      <x:c r="BE2" s="3"/>
      <x:c r="BF2" s="3"/>
      <x:c r="BG2" s="3"/>
      <x:c r="BH2" s="3"/>
      <x:c r="BI2" s="3"/>
      <x:c r="BJ2" s="3"/>
      <x:c r="BK2" s="3"/>
      <x:c r="BL2" s="3"/>
      <x:c r="BM2" s="3"/>
    </x:row>
    <x:row r="3" ht="25" customHeight="1">
      <x:c r="A3" s="8"/>
      <x:c r="B3" s="8"/>
      <x:c r="C3" s="8"/>
      <x:c r="D3" s="8"/>
      <x:c r="E3" s="8"/>
      <x:c r="F3" s="8"/>
      <x:c r="G3" s="8"/>
      <x:c r="H3" s="8"/>
      <x:c r="I3" s="8"/>
      <x:c r="J3" s="8"/>
      <x:c r="K3" s="8"/>
      <x:c r="L3" s="8"/>
      <x:c r="M3" s="8"/>
      <x:c r="N3" s="8"/>
      <x:c r="O3" s="8"/>
      <x:c r="P3" s="8"/>
      <x:c r="Q3" s="8"/>
      <x:c r="R3" s="8"/>
      <x:c r="S3" s="8"/>
      <x:c r="T3" s="8"/>
      <x:c r="U3" s="8"/>
      <x:c r="V3" s="8"/>
      <x:c r="W3" s="8"/>
      <x:c r="X3" s="8"/>
      <x:c r="Y3" s="8"/>
      <x:c r="Z3" s="8"/>
      <x:c r="AA3" s="8"/>
      <x:c r="AB3" s="8"/>
      <x:c r="AC3" s="8"/>
      <x:c r="AD3" s="8"/>
      <x:c r="AE3" s="8"/>
      <x:c r="AF3" s="8"/>
      <x:c r="AG3" s="8"/>
      <x:c r="AH3" s="8"/>
      <x:c r="AI3" s="8"/>
      <x:c r="AJ3" s="8"/>
      <x:c r="AK3" s="8"/>
      <x:c r="AL3" s="8"/>
      <x:c r="AM3" s="8"/>
      <x:c r="AN3" s="8"/>
      <x:c r="AO3" s="8"/>
      <x:c r="AP3" s="8"/>
      <x:c r="AQ3" s="8"/>
      <x:c r="AR3" s="8"/>
      <x:c r="AS3" s="8"/>
      <x:c r="AT3" s="8"/>
      <x:c r="AU3" s="8"/>
      <x:c r="AV3" s="8"/>
      <x:c r="AW3" s="8"/>
      <x:c r="AX3" s="8"/>
      <x:c r="AY3" s="8"/>
      <x:c r="AZ3" s="8"/>
      <x:c r="BA3" s="8"/>
      <x:c r="BB3" s="8"/>
      <x:c r="BC3" s="8"/>
      <x:c r="BD3" s="8"/>
      <x:c r="BE3" s="8"/>
      <x:c r="BF3" s="8"/>
      <x:c r="BG3" s="8"/>
      <x:c r="BH3" s="8"/>
      <x:c r="BI3" s="8"/>
      <x:c r="BJ3" s="8"/>
      <x:c r="BK3" s="8"/>
      <x:c r="BL3" s="8"/>
      <x:c r="BM3" s="8"/>
    </x:row>
    <x:row r="4" ht="25" customHeight="1">
      <x:c r="A4" s="7" t="str">
        <x:v>“霜”“月痕”“回生”与血月时序见方案页。原始数值保留；修订栏不自动改写其他页的种子快照。</x:v>
      </x:c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3"/>
      <x:c r="Q4" s="3"/>
      <x:c r="R4" s="3"/>
      <x:c r="S4" s="3"/>
      <x:c r="T4" s="3"/>
      <x:c r="U4" s="3"/>
      <x:c r="V4" s="3"/>
      <x:c r="W4" s="3"/>
      <x:c r="X4" s="3"/>
      <x:c r="Y4" s="3"/>
      <x:c r="Z4" s="3"/>
      <x:c r="AA4" s="3"/>
      <x:c r="AB4" s="3"/>
      <x:c r="AC4" s="3"/>
      <x:c r="AD4" s="3"/>
      <x:c r="AE4" s="3"/>
      <x:c r="AF4" s="3"/>
      <x:c r="AG4" s="3"/>
      <x:c r="AH4" s="3"/>
      <x:c r="AI4" s="3"/>
      <x:c r="AJ4" s="3"/>
      <x:c r="AK4" s="3"/>
      <x:c r="AL4" s="3"/>
      <x:c r="AM4" s="3"/>
      <x:c r="AN4" s="3"/>
      <x:c r="AO4" s="3"/>
      <x:c r="AP4" s="3"/>
      <x:c r="AQ4" s="3"/>
      <x:c r="AR4" s="3"/>
      <x:c r="AS4" s="3"/>
      <x:c r="AT4" s="3"/>
      <x:c r="AU4" s="3"/>
      <x:c r="AV4" s="3"/>
      <x:c r="AW4" s="3"/>
      <x:c r="AX4" s="3"/>
      <x:c r="AY4" s="3"/>
      <x:c r="AZ4" s="3"/>
      <x:c r="BA4" s="3"/>
      <x:c r="BB4" s="3"/>
      <x:c r="BC4" s="3"/>
      <x:c r="BD4" s="3"/>
      <x:c r="BE4" s="3"/>
      <x:c r="BF4" s="3"/>
      <x:c r="BG4" s="3"/>
      <x:c r="BH4" s="3"/>
      <x:c r="BI4" s="3"/>
      <x:c r="BJ4" s="3"/>
      <x:c r="BK4" s="3"/>
      <x:c r="BL4" s="3"/>
      <x:c r="BM4" s="3"/>
    </x:row>
    <x:row r="5" ht="32" customHeight="1">
      <x:c r="A5" s="15" t="str">
        <x:v>卡牌名</x:v>
      </x:c>
      <x:c r="B5" s="15" t="str">
        <x:v>寒锋</x:v>
      </x:c>
      <x:c r="C5" s="15" t="str">
        <x:v>凝霜</x:v>
      </x:c>
      <x:c r="D5" s="15" t="str">
        <x:v>映月</x:v>
      </x:c>
      <x:c r="E5" s="15" t="str">
        <x:v>归冬</x:v>
      </x:c>
      <x:c r="F5" s="15" t="str">
        <x:v>寒月斩</x:v>
      </x:c>
      <x:c r="G5" s="15" t="str">
        <x:v>冰棱</x:v>
      </x:c>
      <x:c r="H5" s="15" t="str">
        <x:v>踏雪</x:v>
      </x:c>
      <x:c r="I5" s="15" t="str">
        <x:v>薄暮</x:v>
      </x:c>
      <x:c r="J5" s="15" t="str">
        <x:v>新月</x:v>
      </x:c>
      <x:c r="K5" s="15" t="str">
        <x:v>弦月</x:v>
      </x:c>
      <x:c r="L5" s="15" t="str">
        <x:v>冰镜</x:v>
      </x:c>
      <x:c r="M5" s="15" t="str">
        <x:v>碎冰</x:v>
      </x:c>
      <x:c r="N5" s="15" t="str">
        <x:v>雪藏</x:v>
      </x:c>
      <x:c r="O5" s="15" t="str">
        <x:v>月落</x:v>
      </x:c>
      <x:c r="P5" s="15" t="str">
        <x:v>退潮</x:v>
      </x:c>
      <x:c r="Q5" s="15" t="str">
        <x:v>割霜</x:v>
      </x:c>
      <x:c r="R5" s="15" t="str">
        <x:v>望舒</x:v>
      </x:c>
      <x:c r="S5" s="15" t="str">
        <x:v>照影</x:v>
      </x:c>
      <x:c r="T5" s="15" t="str">
        <x:v>双弧</x:v>
      </x:c>
      <x:c r="U5" s="15" t="str">
        <x:v>霜刃回环</x:v>
      </x:c>
      <x:c r="V5" s="15" t="str">
        <x:v>月洒</x:v>
      </x:c>
      <x:c r="W5" s="15" t="str">
        <x:v>寒潮</x:v>
      </x:c>
      <x:c r="X5" s="15" t="str">
        <x:v>止水</x:v>
      </x:c>
      <x:c r="Y5" s="15" t="str">
        <x:v>见隙</x:v>
      </x:c>
      <x:c r="Z5" s="15" t="str">
        <x:v>镜月</x:v>
      </x:c>
      <x:c r="AA5" s="15" t="str">
        <x:v>月下霜</x:v>
      </x:c>
      <x:c r="AB5" s="15" t="str">
        <x:v>潮汐</x:v>
      </x:c>
      <x:c r="AC5" s="15" t="str">
        <x:v>霜缝</x:v>
      </x:c>
      <x:c r="AD5" s="15" t="str">
        <x:v>冻彻</x:v>
      </x:c>
      <x:c r="AE5" s="15" t="str">
        <x:v>玄冰</x:v>
      </x:c>
      <x:c r="AF5" s="15" t="str">
        <x:v>冰河断</x:v>
      </x:c>
      <x:c r="AG5" s="15" t="str">
        <x:v>霜解</x:v>
      </x:c>
      <x:c r="AH5" s="15" t="str">
        <x:v>凛冬留白</x:v>
      </x:c>
      <x:c r="AI5" s="15" t="str">
        <x:v>满月</x:v>
      </x:c>
      <x:c r="AJ5" s="15" t="str">
        <x:v>弦外之音</x:v>
      </x:c>
      <x:c r="AK5" s="15" t="str">
        <x:v>掩月</x:v>
      </x:c>
      <x:c r="AL5" s="15" t="str">
        <x:v>残月斩</x:v>
      </x:c>
      <x:c r="AM5" s="15" t="str">
        <x:v>寒月</x:v>
      </x:c>
      <x:c r="AN5" s="15" t="str">
        <x:v>两仪</x:v>
      </x:c>
      <x:c r="AO5" s="15" t="str">
        <x:v>雪夜回响</x:v>
      </x:c>
      <x:c r="AP5" s="15" t="str">
        <x:v>灼脉</x:v>
      </x:c>
      <x:c r="AQ5" s="15" t="str">
        <x:v>回春</x:v>
      </x:c>
      <x:c r="AR5" s="15" t="str">
        <x:v>寒浴</x:v>
      </x:c>
      <x:c r="AS5" s="15" t="str">
        <x:v>刺骨</x:v>
      </x:c>
      <x:c r="AT5" s="15" t="str">
        <x:v>留灯</x:v>
      </x:c>
      <x:c r="AU5" s="15" t="str">
        <x:v>血线</x:v>
      </x:c>
      <x:c r="AV5" s="15" t="str">
        <x:v>悬月</x:v>
      </x:c>
      <x:c r="AW5" s="15" t="str">
        <x:v>霜囊</x:v>
      </x:c>
      <x:c r="AX5" s="15" t="str">
        <x:v>观星</x:v>
      </x:c>
      <x:c r="AY5" s="15" t="str">
        <x:v>折光</x:v>
      </x:c>
      <x:c r="AZ5" s="15" t="str">
        <x:v>薄冰</x:v>
      </x:c>
      <x:c r="BA5" s="15" t="str">
        <x:v>夜渡</x:v>
      </x:c>
      <x:c r="BB5" s="15" t="str">
        <x:v>血月当空</x:v>
      </x:c>
      <x:c r="BC5" s="15" t="str">
        <x:v>长夜不尽</x:v>
      </x:c>
      <x:c r="BD5" s="15" t="str">
        <x:v>冰封王座</x:v>
      </x:c>
      <x:c r="BE5" s="15" t="str">
        <x:v>万相归潮</x:v>
      </x:c>
      <x:c r="BF5" s="15" t="str">
        <x:v>月蚀尽头</x:v>
      </x:c>
      <x:c r="BG5" s="15" t="str">
        <x:v>凝血为刃</x:v>
      </x:c>
      <x:c r="BH5" s="15" t="str">
        <x:v>终冬</x:v>
      </x:c>
      <x:c r="BI5" s="15" t="str">
        <x:v>借命</x:v>
      </x:c>
      <x:c r="BJ5" s="15" t="str">
        <x:v>月有重圆</x:v>
      </x:c>
      <x:c r="BK5" s="15" t="str">
        <x:v>镜湖倒影</x:v>
      </x:c>
      <x:c r="BL5" s="15" t="str">
        <x:v>红莲葬雪</x:v>
      </x:c>
      <x:c r="BM5" s="15" t="str">
        <x:v>碎月成星</x:v>
      </x:c>
    </x:row>
    <x:row r="6" ht="28" customHeight="1">
      <x:c r="A6" s="10" t="str">
        <x:v>ID</x:v>
      </x:c>
      <x:c r="B6" s="11" t="str">
        <x:v>B01</x:v>
      </x:c>
      <x:c r="C6" s="11" t="str">
        <x:v>B02</x:v>
      </x:c>
      <x:c r="D6" s="11" t="str">
        <x:v>B03</x:v>
      </x:c>
      <x:c r="E6" s="11" t="str">
        <x:v>B04</x:v>
      </x:c>
      <x:c r="F6" s="11" t="str">
        <x:v>C01</x:v>
      </x:c>
      <x:c r="G6" s="11" t="str">
        <x:v>C02</x:v>
      </x:c>
      <x:c r="H6" s="11" t="str">
        <x:v>C03</x:v>
      </x:c>
      <x:c r="I6" s="11" t="str">
        <x:v>C04</x:v>
      </x:c>
      <x:c r="J6" s="11" t="str">
        <x:v>C05</x:v>
      </x:c>
      <x:c r="K6" s="11" t="str">
        <x:v>C06</x:v>
      </x:c>
      <x:c r="L6" s="11" t="str">
        <x:v>C07</x:v>
      </x:c>
      <x:c r="M6" s="11" t="str">
        <x:v>C08</x:v>
      </x:c>
      <x:c r="N6" s="11" t="str">
        <x:v>C09</x:v>
      </x:c>
      <x:c r="O6" s="11" t="str">
        <x:v>C10</x:v>
      </x:c>
      <x:c r="P6" s="11" t="str">
        <x:v>C11</x:v>
      </x:c>
      <x:c r="Q6" s="11" t="str">
        <x:v>C12</x:v>
      </x:c>
      <x:c r="R6" s="11" t="str">
        <x:v>C13</x:v>
      </x:c>
      <x:c r="S6" s="11" t="str">
        <x:v>C14</x:v>
      </x:c>
      <x:c r="T6" s="11" t="str">
        <x:v>C15</x:v>
      </x:c>
      <x:c r="U6" s="11" t="str">
        <x:v>C16</x:v>
      </x:c>
      <x:c r="V6" s="11" t="str">
        <x:v>C17</x:v>
      </x:c>
      <x:c r="W6" s="11" t="str">
        <x:v>C18</x:v>
      </x:c>
      <x:c r="X6" s="11" t="str">
        <x:v>C19</x:v>
      </x:c>
      <x:c r="Y6" s="11" t="str">
        <x:v>C20</x:v>
      </x:c>
      <x:c r="Z6" s="11" t="str">
        <x:v>U01</x:v>
      </x:c>
      <x:c r="AA6" s="11" t="str">
        <x:v>U02</x:v>
      </x:c>
      <x:c r="AB6" s="11" t="str">
        <x:v>U03</x:v>
      </x:c>
      <x:c r="AC6" s="11" t="str">
        <x:v>U04</x:v>
      </x:c>
      <x:c r="AD6" s="11" t="str">
        <x:v>U05</x:v>
      </x:c>
      <x:c r="AE6" s="11" t="str">
        <x:v>U06</x:v>
      </x:c>
      <x:c r="AF6" s="11" t="str">
        <x:v>U07</x:v>
      </x:c>
      <x:c r="AG6" s="11" t="str">
        <x:v>U08</x:v>
      </x:c>
      <x:c r="AH6" s="11" t="str">
        <x:v>U09</x:v>
      </x:c>
      <x:c r="AI6" s="11" t="str">
        <x:v>U10</x:v>
      </x:c>
      <x:c r="AJ6" s="11" t="str">
        <x:v>U11</x:v>
      </x:c>
      <x:c r="AK6" s="11" t="str">
        <x:v>U12</x:v>
      </x:c>
      <x:c r="AL6" s="11" t="str">
        <x:v>U13</x:v>
      </x:c>
      <x:c r="AM6" s="11" t="str">
        <x:v>U14</x:v>
      </x:c>
      <x:c r="AN6" s="11" t="str">
        <x:v>U15</x:v>
      </x:c>
      <x:c r="AO6" s="11" t="str">
        <x:v>U16</x:v>
      </x:c>
      <x:c r="AP6" s="11" t="str">
        <x:v>U17</x:v>
      </x:c>
      <x:c r="AQ6" s="11" t="str">
        <x:v>U18</x:v>
      </x:c>
      <x:c r="AR6" s="11" t="str">
        <x:v>U19</x:v>
      </x:c>
      <x:c r="AS6" s="11" t="str">
        <x:v>U20</x:v>
      </x:c>
      <x:c r="AT6" s="11" t="str">
        <x:v>U21</x:v>
      </x:c>
      <x:c r="AU6" s="11" t="str">
        <x:v>U22</x:v>
      </x:c>
      <x:c r="AV6" s="11" t="str">
        <x:v>U23</x:v>
      </x:c>
      <x:c r="AW6" s="11" t="str">
        <x:v>U24</x:v>
      </x:c>
      <x:c r="AX6" s="11" t="str">
        <x:v>U25</x:v>
      </x:c>
      <x:c r="AY6" s="11" t="str">
        <x:v>U26</x:v>
      </x:c>
      <x:c r="AZ6" s="11" t="str">
        <x:v>U27</x:v>
      </x:c>
      <x:c r="BA6" s="11" t="str">
        <x:v>U28</x:v>
      </x:c>
      <x:c r="BB6" s="11" t="str">
        <x:v>R01</x:v>
      </x:c>
      <x:c r="BC6" s="11" t="str">
        <x:v>R02</x:v>
      </x:c>
      <x:c r="BD6" s="11" t="str">
        <x:v>R03</x:v>
      </x:c>
      <x:c r="BE6" s="11" t="str">
        <x:v>R04</x:v>
      </x:c>
      <x:c r="BF6" s="11" t="str">
        <x:v>R05</x:v>
      </x:c>
      <x:c r="BG6" s="11" t="str">
        <x:v>R06</x:v>
      </x:c>
      <x:c r="BH6" s="11" t="str">
        <x:v>R07</x:v>
      </x:c>
      <x:c r="BI6" s="11" t="str">
        <x:v>R08</x:v>
      </x:c>
      <x:c r="BJ6" s="11" t="str">
        <x:v>R09</x:v>
      </x:c>
      <x:c r="BK6" s="11" t="str">
        <x:v>R10</x:v>
      </x:c>
      <x:c r="BL6" s="11" t="str">
        <x:v>R11</x:v>
      </x:c>
      <x:c r="BM6" s="11" t="str">
        <x:v>R12</x:v>
      </x:c>
    </x:row>
    <x:row r="7" ht="28" customHeight="1">
      <x:c r="A7" s="10" t="str">
        <x:v>稀有度</x:v>
      </x:c>
      <x:c r="B7" s="3" t="str">
        <x:v>初始</x:v>
      </x:c>
      <x:c r="C7" s="3" t="str">
        <x:v>初始</x:v>
      </x:c>
      <x:c r="D7" s="3" t="str">
        <x:v>初始</x:v>
      </x:c>
      <x:c r="E7" s="3" t="str">
        <x:v>初始</x:v>
      </x:c>
      <x:c r="F7" s="3" t="str">
        <x:v>普通</x:v>
      </x:c>
      <x:c r="G7" s="3" t="str">
        <x:v>普通</x:v>
      </x:c>
      <x:c r="H7" s="3" t="str">
        <x:v>普通</x:v>
      </x:c>
      <x:c r="I7" s="3" t="str">
        <x:v>普通</x:v>
      </x:c>
      <x:c r="J7" s="3" t="str">
        <x:v>普通</x:v>
      </x:c>
      <x:c r="K7" s="3" t="str">
        <x:v>普通</x:v>
      </x:c>
      <x:c r="L7" s="3" t="str">
        <x:v>普通</x:v>
      </x:c>
      <x:c r="M7" s="3" t="str">
        <x:v>普通</x:v>
      </x:c>
      <x:c r="N7" s="3" t="str">
        <x:v>普通</x:v>
      </x:c>
      <x:c r="O7" s="3" t="str">
        <x:v>普通</x:v>
      </x:c>
      <x:c r="P7" s="3" t="str">
        <x:v>普通</x:v>
      </x:c>
      <x:c r="Q7" s="3" t="str">
        <x:v>普通</x:v>
      </x:c>
      <x:c r="R7" s="3" t="str">
        <x:v>普通</x:v>
      </x:c>
      <x:c r="S7" s="3" t="str">
        <x:v>普通</x:v>
      </x:c>
      <x:c r="T7" s="3" t="str">
        <x:v>普通</x:v>
      </x:c>
      <x:c r="U7" s="3" t="str">
        <x:v>普通</x:v>
      </x:c>
      <x:c r="V7" s="3" t="str">
        <x:v>普通</x:v>
      </x:c>
      <x:c r="W7" s="3" t="str">
        <x:v>普通</x:v>
      </x:c>
      <x:c r="X7" s="3" t="str">
        <x:v>普通</x:v>
      </x:c>
      <x:c r="Y7" s="3" t="str">
        <x:v>普通</x:v>
      </x:c>
      <x:c r="Z7" s="3" t="str">
        <x:v>罕见</x:v>
      </x:c>
      <x:c r="AA7" s="3" t="str">
        <x:v>罕见</x:v>
      </x:c>
      <x:c r="AB7" s="3" t="str">
        <x:v>罕见</x:v>
      </x:c>
      <x:c r="AC7" s="3" t="str">
        <x:v>罕见</x:v>
      </x:c>
      <x:c r="AD7" s="3" t="str">
        <x:v>罕见</x:v>
      </x:c>
      <x:c r="AE7" s="3" t="str">
        <x:v>罕见</x:v>
      </x:c>
      <x:c r="AF7" s="3" t="str">
        <x:v>罕见</x:v>
      </x:c>
      <x:c r="AG7" s="3" t="str">
        <x:v>罕见</x:v>
      </x:c>
      <x:c r="AH7" s="3" t="str">
        <x:v>罕见</x:v>
      </x:c>
      <x:c r="AI7" s="3" t="str">
        <x:v>罕见</x:v>
      </x:c>
      <x:c r="AJ7" s="3" t="str">
        <x:v>罕见</x:v>
      </x:c>
      <x:c r="AK7" s="3" t="str">
        <x:v>罕见</x:v>
      </x:c>
      <x:c r="AL7" s="3" t="str">
        <x:v>罕见</x:v>
      </x:c>
      <x:c r="AM7" s="3" t="str">
        <x:v>罕见</x:v>
      </x:c>
      <x:c r="AN7" s="3" t="str">
        <x:v>罕见</x:v>
      </x:c>
      <x:c r="AO7" s="3" t="str">
        <x:v>罕见</x:v>
      </x:c>
      <x:c r="AP7" s="3" t="str">
        <x:v>罕见</x:v>
      </x:c>
      <x:c r="AQ7" s="3" t="str">
        <x:v>罕见</x:v>
      </x:c>
      <x:c r="AR7" s="3" t="str">
        <x:v>罕见</x:v>
      </x:c>
      <x:c r="AS7" s="3" t="str">
        <x:v>罕见</x:v>
      </x:c>
      <x:c r="AT7" s="3" t="str">
        <x:v>罕见</x:v>
      </x:c>
      <x:c r="AU7" s="3" t="str">
        <x:v>罕见</x:v>
      </x:c>
      <x:c r="AV7" s="3" t="str">
        <x:v>罕见</x:v>
      </x:c>
      <x:c r="AW7" s="3" t="str">
        <x:v>罕见</x:v>
      </x:c>
      <x:c r="AX7" s="3" t="str">
        <x:v>罕见</x:v>
      </x:c>
      <x:c r="AY7" s="3" t="str">
        <x:v>罕见</x:v>
      </x:c>
      <x:c r="AZ7" s="3" t="str">
        <x:v>罕见</x:v>
      </x:c>
      <x:c r="BA7" s="3" t="str">
        <x:v>罕见</x:v>
      </x:c>
      <x:c r="BB7" s="3" t="str">
        <x:v>稀有</x:v>
      </x:c>
      <x:c r="BC7" s="3" t="str">
        <x:v>稀有</x:v>
      </x:c>
      <x:c r="BD7" s="3" t="str">
        <x:v>稀有</x:v>
      </x:c>
      <x:c r="BE7" s="3" t="str">
        <x:v>稀有</x:v>
      </x:c>
      <x:c r="BF7" s="3" t="str">
        <x:v>稀有</x:v>
      </x:c>
      <x:c r="BG7" s="3" t="str">
        <x:v>稀有</x:v>
      </x:c>
      <x:c r="BH7" s="3" t="str">
        <x:v>稀有</x:v>
      </x:c>
      <x:c r="BI7" s="3" t="str">
        <x:v>稀有</x:v>
      </x:c>
      <x:c r="BJ7" s="3" t="str">
        <x:v>稀有</x:v>
      </x:c>
      <x:c r="BK7" s="3" t="str">
        <x:v>稀有</x:v>
      </x:c>
      <x:c r="BL7" s="3" t="str">
        <x:v>稀有</x:v>
      </x:c>
      <x:c r="BM7" s="3" t="str">
        <x:v>稀有</x:v>
      </x:c>
    </x:row>
    <x:row r="8" ht="28" customHeight="1">
      <x:c r="A8" s="10" t="str">
        <x:v>类型</x:v>
      </x:c>
      <x:c r="B8" s="11" t="str">
        <x:v>攻击</x:v>
      </x:c>
      <x:c r="C8" s="11" t="str">
        <x:v>技能</x:v>
      </x:c>
      <x:c r="D8" s="11" t="str">
        <x:v>攻击</x:v>
      </x:c>
      <x:c r="E8" s="11" t="str">
        <x:v>技能</x:v>
      </x:c>
      <x:c r="F8" s="11" t="str">
        <x:v>攻击</x:v>
      </x:c>
      <x:c r="G8" s="11" t="str">
        <x:v>攻击</x:v>
      </x:c>
      <x:c r="H8" s="11" t="str">
        <x:v>技能</x:v>
      </x:c>
      <x:c r="I8" s="11" t="str">
        <x:v>技能</x:v>
      </x:c>
      <x:c r="J8" s="11" t="str">
        <x:v>技能</x:v>
      </x:c>
      <x:c r="K8" s="11" t="str">
        <x:v>攻击</x:v>
      </x:c>
      <x:c r="L8" s="11" t="str">
        <x:v>技能</x:v>
      </x:c>
      <x:c r="M8" s="11" t="str">
        <x:v>攻击</x:v>
      </x:c>
      <x:c r="N8" s="11" t="str">
        <x:v>技能</x:v>
      </x:c>
      <x:c r="O8" s="11" t="str">
        <x:v>技能</x:v>
      </x:c>
      <x:c r="P8" s="11" t="str">
        <x:v>技能</x:v>
      </x:c>
      <x:c r="Q8" s="11" t="str">
        <x:v>技能</x:v>
      </x:c>
      <x:c r="R8" s="11" t="str">
        <x:v>技能</x:v>
      </x:c>
      <x:c r="S8" s="11" t="str">
        <x:v>技能</x:v>
      </x:c>
      <x:c r="T8" s="11" t="str">
        <x:v>攻击</x:v>
      </x:c>
      <x:c r="U8" s="11" t="str">
        <x:v>攻击</x:v>
      </x:c>
      <x:c r="V8" s="11" t="str">
        <x:v>攻击</x:v>
      </x:c>
      <x:c r="W8" s="11" t="str">
        <x:v>技能</x:v>
      </x:c>
      <x:c r="X8" s="11" t="str">
        <x:v>技能</x:v>
      </x:c>
      <x:c r="Y8" s="11" t="str">
        <x:v>攻击</x:v>
      </x:c>
      <x:c r="Z8" s="11" t="str">
        <x:v>技能</x:v>
      </x:c>
      <x:c r="AA8" s="11" t="str">
        <x:v>能力</x:v>
      </x:c>
      <x:c r="AB8" s="11" t="str">
        <x:v>能力</x:v>
      </x:c>
      <x:c r="AC8" s="11" t="str">
        <x:v>能力</x:v>
      </x:c>
      <x:c r="AD8" s="11" t="str">
        <x:v>技能</x:v>
      </x:c>
      <x:c r="AE8" s="11" t="str">
        <x:v>攻击</x:v>
      </x:c>
      <x:c r="AF8" s="11" t="str">
        <x:v>攻击</x:v>
      </x:c>
      <x:c r="AG8" s="11" t="str">
        <x:v>技能</x:v>
      </x:c>
      <x:c r="AH8" s="11" t="str">
        <x:v>技能</x:v>
      </x:c>
      <x:c r="AI8" s="11" t="str">
        <x:v>技能</x:v>
      </x:c>
      <x:c r="AJ8" s="11" t="str">
        <x:v>技能</x:v>
      </x:c>
      <x:c r="AK8" s="11" t="str">
        <x:v>技能</x:v>
      </x:c>
      <x:c r="AL8" s="11" t="str">
        <x:v>攻击</x:v>
      </x:c>
      <x:c r="AM8" s="11" t="str">
        <x:v>攻击</x:v>
      </x:c>
      <x:c r="AN8" s="11" t="str">
        <x:v>技能</x:v>
      </x:c>
      <x:c r="AO8" s="11" t="str">
        <x:v>技能</x:v>
      </x:c>
      <x:c r="AP8" s="11" t="str">
        <x:v>技能</x:v>
      </x:c>
      <x:c r="AQ8" s="11" t="str">
        <x:v>技能</x:v>
      </x:c>
      <x:c r="AR8" s="11" t="str">
        <x:v>技能</x:v>
      </x:c>
      <x:c r="AS8" s="11" t="str">
        <x:v>能力</x:v>
      </x:c>
      <x:c r="AT8" s="11" t="str">
        <x:v>技能</x:v>
      </x:c>
      <x:c r="AU8" s="11" t="str">
        <x:v>攻击</x:v>
      </x:c>
      <x:c r="AV8" s="11" t="str">
        <x:v>能力</x:v>
      </x:c>
      <x:c r="AW8" s="11" t="str">
        <x:v>能力</x:v>
      </x:c>
      <x:c r="AX8" s="11" t="str">
        <x:v>技能</x:v>
      </x:c>
      <x:c r="AY8" s="11" t="str">
        <x:v>攻击</x:v>
      </x:c>
      <x:c r="AZ8" s="11" t="str">
        <x:v>技能</x:v>
      </x:c>
      <x:c r="BA8" s="11" t="str">
        <x:v>技能</x:v>
      </x:c>
      <x:c r="BB8" s="11" t="str">
        <x:v>能力</x:v>
      </x:c>
      <x:c r="BC8" s="11" t="str">
        <x:v>能力</x:v>
      </x:c>
      <x:c r="BD8" s="11" t="str">
        <x:v>能力</x:v>
      </x:c>
      <x:c r="BE8" s="11" t="str">
        <x:v>能力</x:v>
      </x:c>
      <x:c r="BF8" s="11" t="str">
        <x:v>攻击</x:v>
      </x:c>
      <x:c r="BG8" s="11" t="str">
        <x:v>攻击</x:v>
      </x:c>
      <x:c r="BH8" s="11" t="str">
        <x:v>技能</x:v>
      </x:c>
      <x:c r="BI8" s="11" t="str">
        <x:v>技能</x:v>
      </x:c>
      <x:c r="BJ8" s="11" t="str">
        <x:v>技能</x:v>
      </x:c>
      <x:c r="BK8" s="11" t="str">
        <x:v>技能</x:v>
      </x:c>
      <x:c r="BL8" s="11" t="str">
        <x:v>攻击</x:v>
      </x:c>
      <x:c r="BM8" s="11" t="str">
        <x:v>能力</x:v>
      </x:c>
    </x:row>
    <x:row r="9" ht="28" customHeight="1">
      <x:c r="A9" s="10" t="str">
        <x:v>费用 · 基础</x:v>
      </x:c>
      <x:c r="B9" s="18" t="n">
        <x:v>1</x:v>
      </x:c>
      <x:c r="C9" s="18" t="n">
        <x:v>1</x:v>
      </x:c>
      <x:c r="D9" s="18" t="n">
        <x:v>1</x:v>
      </x:c>
      <x:c r="E9" s="18" t="n">
        <x:v>1</x:v>
      </x:c>
      <x:c r="F9" s="18" t="n">
        <x:v>1</x:v>
      </x:c>
      <x:c r="G9" s="18" t="n">
        <x:v>1</x:v>
      </x:c>
      <x:c r="H9" s="18" t="n">
        <x:v>1</x:v>
      </x:c>
      <x:c r="I9" s="18" t="n">
        <x:v>1</x:v>
      </x:c>
      <x:c r="J9" s="18" t="n">
        <x:v>0</x:v>
      </x:c>
      <x:c r="K9" s="18" t="n">
        <x:v>1</x:v>
      </x:c>
      <x:c r="L9" s="18" t="n">
        <x:v>1</x:v>
      </x:c>
      <x:c r="M9" s="18" t="n">
        <x:v>1</x:v>
      </x:c>
      <x:c r="N9" s="18" t="n">
        <x:v>1</x:v>
      </x:c>
      <x:c r="O9" s="18" t="n">
        <x:v>1</x:v>
      </x:c>
      <x:c r="P9" s="18" t="n">
        <x:v>1</x:v>
      </x:c>
      <x:c r="Q9" s="18" t="n">
        <x:v>0</x:v>
      </x:c>
      <x:c r="R9" s="18" t="n">
        <x:v>1</x:v>
      </x:c>
      <x:c r="S9" s="18" t="n">
        <x:v>1</x:v>
      </x:c>
      <x:c r="T9" s="18" t="n">
        <x:v>1</x:v>
      </x:c>
      <x:c r="U9" s="18" t="n">
        <x:v>1</x:v>
      </x:c>
      <x:c r="V9" s="18" t="n">
        <x:v>2</x:v>
      </x:c>
      <x:c r="W9" s="18" t="n">
        <x:v>1</x:v>
      </x:c>
      <x:c r="X9" s="18" t="n">
        <x:v>1</x:v>
      </x:c>
      <x:c r="Y9" s="18" t="n">
        <x:v>1</x:v>
      </x:c>
      <x:c r="Z9" s="18" t="n">
        <x:v>1</x:v>
      </x:c>
      <x:c r="AA9" s="18" t="n">
        <x:v>1</x:v>
      </x:c>
      <x:c r="AB9" s="18" t="n">
        <x:v>1</x:v>
      </x:c>
      <x:c r="AC9" s="18" t="n">
        <x:v>1</x:v>
      </x:c>
      <x:c r="AD9" s="18" t="n">
        <x:v>1</x:v>
      </x:c>
      <x:c r="AE9" s="18" t="n">
        <x:v>2</x:v>
      </x:c>
      <x:c r="AF9" s="18" t="n">
        <x:v>2</x:v>
      </x:c>
      <x:c r="AG9" s="18" t="n">
        <x:v>0</x:v>
      </x:c>
      <x:c r="AH9" s="18" t="n">
        <x:v>1</x:v>
      </x:c>
      <x:c r="AI9" s="18" t="n">
        <x:v>2</x:v>
      </x:c>
      <x:c r="AJ9" s="18" t="n">
        <x:v>1</x:v>
      </x:c>
      <x:c r="AK9" s="18" t="n">
        <x:v>1</x:v>
      </x:c>
      <x:c r="AL9" s="18" t="n">
        <x:v>1</x:v>
      </x:c>
      <x:c r="AM9" s="18" t="n">
        <x:v>2</x:v>
      </x:c>
      <x:c r="AN9" s="18" t="n">
        <x:v>1</x:v>
      </x:c>
      <x:c r="AO9" s="18" t="n">
        <x:v>1</x:v>
      </x:c>
      <x:c r="AP9" s="18" t="n">
        <x:v>0</x:v>
      </x:c>
      <x:c r="AQ9" s="18" t="n">
        <x:v>1</x:v>
      </x:c>
      <x:c r="AR9" s="18" t="n">
        <x:v>1</x:v>
      </x:c>
      <x:c r="AS9" s="18" t="n">
        <x:v>1</x:v>
      </x:c>
      <x:c r="AT9" s="18" t="n">
        <x:v>1</x:v>
      </x:c>
      <x:c r="AU9" s="18" t="n">
        <x:v>1</x:v>
      </x:c>
      <x:c r="AV9" s="18" t="n">
        <x:v>1</x:v>
      </x:c>
      <x:c r="AW9" s="18" t="n">
        <x:v>1</x:v>
      </x:c>
      <x:c r="AX9" s="18" t="n">
        <x:v>1</x:v>
      </x:c>
      <x:c r="AY9" s="18" t="n">
        <x:v>2</x:v>
      </x:c>
      <x:c r="AZ9" s="18" t="n">
        <x:v>0</x:v>
      </x:c>
      <x:c r="BA9" s="18" t="n">
        <x:v>1</x:v>
      </x:c>
      <x:c r="BB9" s="18" t="n">
        <x:v>2</x:v>
      </x:c>
      <x:c r="BC9" s="18" t="n">
        <x:v>2</x:v>
      </x:c>
      <x:c r="BD9" s="18" t="n">
        <x:v>2</x:v>
      </x:c>
      <x:c r="BE9" s="18" t="n">
        <x:v>2</x:v>
      </x:c>
      <x:c r="BF9" s="18" t="n">
        <x:v>3</x:v>
      </x:c>
      <x:c r="BG9" s="18" t="str">
        <x:v>X</x:v>
      </x:c>
      <x:c r="BH9" s="18" t="n">
        <x:v>2</x:v>
      </x:c>
      <x:c r="BI9" s="18" t="n">
        <x:v>0</x:v>
      </x:c>
      <x:c r="BJ9" s="18" t="n">
        <x:v>1</x:v>
      </x:c>
      <x:c r="BK9" s="18" t="n">
        <x:v>2</x:v>
      </x:c>
      <x:c r="BL9" s="18" t="n">
        <x:v>2</x:v>
      </x:c>
      <x:c r="BM9" s="18" t="n">
        <x:v>2</x:v>
      </x:c>
    </x:row>
    <x:row r="10" ht="28" customHeight="1">
      <x:c r="A10" s="10" t="str">
        <x:v>费用 · 升级</x:v>
      </x:c>
      <x:c r="B10" s="19" t="n">
        <x:v>1</x:v>
      </x:c>
      <x:c r="C10" s="19" t="n">
        <x:v>1</x:v>
      </x:c>
      <x:c r="D10" s="19" t="n">
        <x:v>1</x:v>
      </x:c>
      <x:c r="E10" s="19" t="n">
        <x:v>1</x:v>
      </x:c>
      <x:c r="F10" s="19" t="n">
        <x:v>1</x:v>
      </x:c>
      <x:c r="G10" s="19" t="n">
        <x:v>1</x:v>
      </x:c>
      <x:c r="H10" s="19" t="n">
        <x:v>1</x:v>
      </x:c>
      <x:c r="I10" s="19" t="n">
        <x:v>1</x:v>
      </x:c>
      <x:c r="J10" s="19" t="n">
        <x:v>0</x:v>
      </x:c>
      <x:c r="K10" s="19" t="n">
        <x:v>1</x:v>
      </x:c>
      <x:c r="L10" s="19" t="n">
        <x:v>1</x:v>
      </x:c>
      <x:c r="M10" s="19" t="n">
        <x:v>1</x:v>
      </x:c>
      <x:c r="N10" s="19" t="n">
        <x:v>1</x:v>
      </x:c>
      <x:c r="O10" s="19" t="n">
        <x:v>1</x:v>
      </x:c>
      <x:c r="P10" s="19" t="n">
        <x:v>1</x:v>
      </x:c>
      <x:c r="Q10" s="19" t="n">
        <x:v>0</x:v>
      </x:c>
      <x:c r="R10" s="19" t="n">
        <x:v>1</x:v>
      </x:c>
      <x:c r="S10" s="19" t="n">
        <x:v>1</x:v>
      </x:c>
      <x:c r="T10" s="19" t="n">
        <x:v>1</x:v>
      </x:c>
      <x:c r="U10" s="19" t="n">
        <x:v>1</x:v>
      </x:c>
      <x:c r="V10" s="19" t="n">
        <x:v>2</x:v>
      </x:c>
      <x:c r="W10" s="19" t="n">
        <x:v>1</x:v>
      </x:c>
      <x:c r="X10" s="19" t="n">
        <x:v>1</x:v>
      </x:c>
      <x:c r="Y10" s="19" t="n">
        <x:v>1</x:v>
      </x:c>
      <x:c r="Z10" s="19" t="n">
        <x:v>0</x:v>
      </x:c>
      <x:c r="AA10" s="19" t="n">
        <x:v>1</x:v>
      </x:c>
      <x:c r="AB10" s="19" t="n">
        <x:v>1</x:v>
      </x:c>
      <x:c r="AC10" s="19" t="n">
        <x:v>1</x:v>
      </x:c>
      <x:c r="AD10" s="19" t="n">
        <x:v>1</x:v>
      </x:c>
      <x:c r="AE10" s="19" t="n">
        <x:v>2</x:v>
      </x:c>
      <x:c r="AF10" s="19" t="n">
        <x:v>2</x:v>
      </x:c>
      <x:c r="AG10" s="19" t="n">
        <x:v>0</x:v>
      </x:c>
      <x:c r="AH10" s="19" t="n">
        <x:v>1</x:v>
      </x:c>
      <x:c r="AI10" s="19" t="n">
        <x:v>2</x:v>
      </x:c>
      <x:c r="AJ10" s="19" t="n">
        <x:v>1</x:v>
      </x:c>
      <x:c r="AK10" s="19" t="n">
        <x:v>1</x:v>
      </x:c>
      <x:c r="AL10" s="19" t="n">
        <x:v>1</x:v>
      </x:c>
      <x:c r="AM10" s="19" t="n">
        <x:v>2</x:v>
      </x:c>
      <x:c r="AN10" s="19" t="n">
        <x:v>1</x:v>
      </x:c>
      <x:c r="AO10" s="19" t="n">
        <x:v>1</x:v>
      </x:c>
      <x:c r="AP10" s="19" t="n">
        <x:v>0</x:v>
      </x:c>
      <x:c r="AQ10" s="19" t="n">
        <x:v>1</x:v>
      </x:c>
      <x:c r="AR10" s="19" t="n">
        <x:v>1</x:v>
      </x:c>
      <x:c r="AS10" s="19" t="n">
        <x:v>0</x:v>
      </x:c>
      <x:c r="AT10" s="19" t="n">
        <x:v>1</x:v>
      </x:c>
      <x:c r="AU10" s="19" t="n">
        <x:v>1</x:v>
      </x:c>
      <x:c r="AV10" s="19" t="n">
        <x:v>1</x:v>
      </x:c>
      <x:c r="AW10" s="19" t="n">
        <x:v>1</x:v>
      </x:c>
      <x:c r="AX10" s="19" t="n">
        <x:v>1</x:v>
      </x:c>
      <x:c r="AY10" s="19" t="n">
        <x:v>2</x:v>
      </x:c>
      <x:c r="AZ10" s="19" t="n">
        <x:v>0</x:v>
      </x:c>
      <x:c r="BA10" s="19" t="n">
        <x:v>1</x:v>
      </x:c>
      <x:c r="BB10" s="19" t="n">
        <x:v>2</x:v>
      </x:c>
      <x:c r="BC10" s="19" t="n">
        <x:v>1</x:v>
      </x:c>
      <x:c r="BD10" s="19" t="n">
        <x:v>2</x:v>
      </x:c>
      <x:c r="BE10" s="19" t="n">
        <x:v>2</x:v>
      </x:c>
      <x:c r="BF10" s="19" t="n">
        <x:v>3</x:v>
      </x:c>
      <x:c r="BG10" s="19" t="str">
        <x:v>X</x:v>
      </x:c>
      <x:c r="BH10" s="19" t="n">
        <x:v>2</x:v>
      </x:c>
      <x:c r="BI10" s="19" t="n">
        <x:v>0</x:v>
      </x:c>
      <x:c r="BJ10" s="19" t="n">
        <x:v>1</x:v>
      </x:c>
      <x:c r="BK10" s="19" t="n">
        <x:v>2</x:v>
      </x:c>
      <x:c r="BL10" s="19" t="n">
        <x:v>2</x:v>
      </x:c>
      <x:c r="BM10" s="19" t="n">
        <x:v>2</x:v>
      </x:c>
    </x:row>
    <x:row r="11" ht="60" customHeight="1">
      <x:c r="A11" s="10" t="str">
        <x:v>基础效果</x:v>
      </x:c>
      <x:c r="B11" s="3" t="str">
        <x:v>造成6点伤害。</x:v>
      </x:c>
      <x:c r="C11" s="3" t="str">
        <x:v>获得5点格挡。</x:v>
      </x:c>
      <x:c r="D11" s="3" t="str">
        <x:v>造成5点伤害。施加2月痕。进入月。</x:v>
      </x:c>
      <x:c r="E11" s="3" t="str">
        <x:v>获得7点格挡。回生2。进入冰。</x:v>
      </x:c>
      <x:c r="F11" s="3" t="str">
        <x:v>支付2生命。获得2霜。造成9点伤害。</x:v>
      </x:c>
      <x:c r="G11" s="3" t="str">
        <x:v>造成5点伤害2次。若至少有1霜，消耗1霜并获得3点格挡。</x:v>
      </x:c>
      <x:c r="H11" s="3" t="str">
        <x:v>获得6点格挡。获得1霜。进入冰。</x:v>
      </x:c>
      <x:c r="I11" s="3" t="str">
        <x:v>获得5点格挡。施加2月痕。进入月。</x:v>
      </x:c>
      <x:c r="J11" s="3" t="str">
        <x:v>施加2月痕。</x:v>
      </x:c>
      <x:c r="K11" s="3" t="str">
        <x:v>造成7点伤害。施加2月痕。</x:v>
      </x:c>
      <x:c r="L11" s="3" t="str">
        <x:v>获得5点格挡。施加2月痕。</x:v>
      </x:c>
      <x:c r="M11" s="3" t="str">
        <x:v>消耗最多2霜。造成8点伤害，每消耗1霜额外造成3点伤害。</x:v>
      </x:c>
      <x:c r="N11" s="3" t="str">
        <x:v>保留。获得8点格挡。</x:v>
      </x:c>
      <x:c r="O11" s="3" t="str">
        <x:v>若目标至少有6月痕，移除6层并触发1次月蚀；否则施加3月痕。</x:v>
      </x:c>
      <x:c r="P11" s="3" t="str">
        <x:v>回生3。抽1张牌。进入冰。</x:v>
      </x:c>
      <x:c r="Q11" s="3" t="str">
        <x:v>支付3生命。获得2霜。消耗。</x:v>
      </x:c>
      <x:c r="R11" s="3" t="str">
        <x:v>抽2张牌。若本牌开始结算时处于月，回生1。</x:v>
      </x:c>
      <x:c r="S11" s="3" t="str">
        <x:v>获得3点格挡。抽2张牌，然后弃1张牌。</x:v>
      </x:c>
      <x:c r="T11" s="3" t="str">
        <x:v>造成4点伤害2次；每击后施加1月痕。</x:v>
      </x:c>
      <x:c r="U11" s="3" t="str">
        <x:v>造成8点伤害。若本回合已经主动切换过冰月形态，抽1张牌。</x:v>
      </x:c>
      <x:c r="V11" s="3" t="str">
        <x:v>对所有敌人造成7点伤害，并各施加1月痕。</x:v>
      </x:c>
      <x:c r="W11" s="3" t="str">
        <x:v>获得5点格挡。对所有敌人施加1月痕。</x:v>
      </x:c>
      <x:c r="X11" s="3" t="str">
        <x:v>消耗最多2霜。获得4点格挡，每消耗1霜额外获得4点格挡。</x:v>
      </x:c>
      <x:c r="Y11" s="3" t="str">
        <x:v>造成7点伤害。若目标此时至少有4月痕，施加1层虚弱。</x:v>
      </x:c>
      <x:c r="Z11" s="3" t="str">
        <x:v>获得2霜。施加2月痕。选择进入冰或月。</x:v>
      </x:c>
      <x:c r="AA11" s="3" t="str">
        <x:v>每回合你的前2次月蚀结算结束后，各获得1霜。</x:v>
      </x:c>
      <x:c r="AB11" s="3" t="str">
        <x:v>你的月蚀每结算一击，获得1点格挡。</x:v>
      </x:c>
      <x:c r="AC11" s="3" t="str">
        <x:v>每回合首次主动切换冰月形态时，抽1张牌。</x:v>
      </x:c>
      <x:c r="AD11" s="3" t="str">
        <x:v>获得4加上当前霜数2倍的格挡。不消耗霜。</x:v>
      </x:c>
      <x:c r="AE11" s="3" t="str">
        <x:v>造成16点伤害。若当前至少有4霜，施加2层虚弱。</x:v>
      </x:c>
      <x:c r="AF11" s="3" t="str">
        <x:v>消耗最多3霜。造成12点伤害，每消耗1霜额外造成5点伤害。</x:v>
      </x:c>
      <x:c r="AG11" s="3" t="str">
        <x:v>消耗2霜。抽2张牌。消耗。</x:v>
      </x:c>
      <x:c r="AH11" s="3" t="str">
        <x:v>保留。从抽牌堆选1张攻击牌加入手牌。获得4点格挡。</x:v>
      </x:c>
      <x:c r="AI11" s="3" t="str">
        <x:v>施加5月痕。抽1张牌。</x:v>
      </x:c>
      <x:c r="AJ11" s="3" t="str">
        <x:v>对所有敌人施加2月痕。抽1张牌。</x:v>
      </x:c>
      <x:c r="AK11" s="3" t="str">
        <x:v>移除目标最多3月痕；每移除1层，获得3点格挡。若移除了3层，抽1张牌。</x:v>
      </x:c>
      <x:c r="AL11" s="3" t="str">
        <x:v>移除目标最多3月痕。造成4点伤害，每移除1层额外造成4点伤害。</x:v>
      </x:c>
      <x:c r="AM11" s="3" t="str">
        <x:v>造成12点伤害。施加2月痕。结算结束时，若本牌触发过月蚀，获得2霜并回生2。</x:v>
      </x:c>
      <x:c r="AN11" s="3" t="str">
        <x:v>按开始形态执行。冰：获得8格挡、施加2月痕，进入月。月：回生3、获得2霜，进入冰。血月：获得8格挡并回生3，保持血月。</x:v>
      </x:c>
      <x:c r="AO11" s="3" t="str">
        <x:v>从弃牌堆选1张牌加入手牌，并在本次回合结束时保留。消耗。</x:v>
      </x:c>
      <x:c r="AP11" s="3" t="str">
        <x:v>支付4生命。获得1能量。抽1张牌。消耗。</x:v>
      </x:c>
      <x:c r="AQ11" s="3" t="str">
        <x:v>恢复4生命。消耗。</x:v>
      </x:c>
      <x:c r="AR11" s="3" t="str">
        <x:v>获得5点格挡。回生6。</x:v>
      </x:c>
      <x:c r="AS11" s="3" t="str">
        <x:v>每回合首次主动支付生命后，获得3点格挡并抽1张牌。</x:v>
      </x:c>
      <x:c r="AT11" s="3" t="str">
        <x:v>获得7点格挡。若本回合曾主动支付生命，抽1张牌。</x:v>
      </x:c>
      <x:c r="AU11" s="3" t="str">
        <x:v>选择支付0、2或4生命。造成7点伤害，每点本次选择支付的生命额外造成2点伤害。</x:v>
      </x:c>
      <x:c r="AV11" s="3" t="str">
        <x:v>每回合首次月蚀结算结束后，将1张月屑加入手牌。</x:v>
      </x:c>
      <x:c r="AW11" s="3" t="str">
        <x:v>霜上限增加2。回合结束时，若至少有6霜，获得4点格挡。</x:v>
      </x:c>
      <x:c r="AX11" s="3" t="str">
        <x:v>抽3张牌，然后弃1张牌。</x:v>
      </x:c>
      <x:c r="AY11" s="3" t="str">
        <x:v>造成6点伤害2次，然后施加3月痕。</x:v>
      </x:c>
      <x:c r="AZ11" s="3" t="str">
        <x:v>消耗1霜。获得7点格挡。消耗。</x:v>
      </x:c>
      <x:c r="BA11" s="3" t="str">
        <x:v>获得6点格挡。选择进入冰或月；若因此实际切换了基础形态，抽1张牌。</x:v>
      </x:c>
      <x:c r="BB11" s="3" t="str">
        <x:v>每次进入血月时，抽2张牌。每次血月期间首次完成月蚀后，回生4。</x:v>
      </x:c>
      <x:c r="BC11" s="3" t="str">
        <x:v>每回合前两次主动切换冰月形态时，各抽1张牌；第二次还获得1能量。</x:v>
      </x:c>
      <x:c r="BD11" s="3" t="str">
        <x:v>每回合开始时获得1霜。回合结束时若至少有4霜，将最多8点当前格挡保留到下一回合。</x:v>
      </x:c>
      <x:c r="BE11" s="3" t="str">
        <x:v>月蚀每击基础伤害增加1。每回合首次月蚀结算结束后，回生2。</x:v>
      </x:c>
      <x:c r="BF11" s="3" t="str">
        <x:v>造成9点伤害。施加8月痕；若本次施加触发过月蚀且目标仍存活，再造成9点伤害。</x:v>
      </x:c>
      <x:c r="BG11" s="3" t="str">
        <x:v>支付3生命。造成7点伤害X+1次。消耗。</x:v>
      </x:c>
      <x:c r="BH11" s="3" t="str">
        <x:v>获得20点格挡。回生8。进入冰。消耗。</x:v>
      </x:c>
      <x:c r="BI11" s="3" t="str">
        <x:v>支付5生命。获得2能量。抽2张牌。消耗。</x:v>
      </x:c>
      <x:c r="BJ11" s="3" t="str">
        <x:v>恢复6生命。若本牌开始时处于冰，获得2霜。消耗。</x:v>
      </x:c>
      <x:c r="BK11" s="3" t="str">
        <x:v>从抽牌堆选1张非X费用攻击牌加入手牌；其本回合费用变为0。获得6点格挡。消耗。</x:v>
      </x:c>
      <x:c r="BL11" s="3" t="str">
        <x:v>对所有敌人造成12点伤害。回生等于本牌实际造成的生命损失总和，最多6。进入冰。消耗。</x:v>
      </x:c>
      <x:c r="BM11" s="3" t="str">
        <x:v>月蚀增加2击。月蚀每击基础伤害降低1，最低为1。</x:v>
      </x:c>
    </x:row>
    <x:row r="12" ht="60" customHeight="1">
      <x:c r="A12" s="10" t="str">
        <x:v>升级后完整效果</x:v>
      </x:c>
      <x:c r="B12" s="11" t="str">
        <x:v>造成9点伤害。</x:v>
      </x:c>
      <x:c r="C12" s="11" t="str">
        <x:v>获得8点格挡。</x:v>
      </x:c>
      <x:c r="D12" s="11" t="str">
        <x:v>造成8点伤害。施加2月痕。进入月。</x:v>
      </x:c>
      <x:c r="E12" s="11" t="str">
        <x:v>获得10点格挡。回生3。进入冰。</x:v>
      </x:c>
      <x:c r="F12" s="11" t="str">
        <x:v>支付2生命。获得2霜。造成12点伤害。</x:v>
      </x:c>
      <x:c r="G12" s="11" t="str">
        <x:v>造成7点伤害2次。若至少有1霜，消耗1霜并获得5点格挡。</x:v>
      </x:c>
      <x:c r="H12" s="11" t="str">
        <x:v>获得9点格挡。获得1霜。进入冰。</x:v>
      </x:c>
      <x:c r="I12" s="11" t="str">
        <x:v>获得8点格挡。施加2月痕。进入月。</x:v>
      </x:c>
      <x:c r="J12" s="11" t="str">
        <x:v>施加3月痕。</x:v>
      </x:c>
      <x:c r="K12" s="11" t="str">
        <x:v>造成10点伤害。施加2月痕。</x:v>
      </x:c>
      <x:c r="L12" s="11" t="str">
        <x:v>获得8点格挡。施加2月痕。</x:v>
      </x:c>
      <x:c r="M12" s="11" t="str">
        <x:v>消耗最多2霜。造成11点伤害，每消耗1霜额外造成3点伤害。</x:v>
      </x:c>
      <x:c r="N12" s="11" t="str">
        <x:v>保留。获得11点格挡。</x:v>
      </x:c>
      <x:c r="O12" s="11" t="str">
        <x:v>若目标至少有6月痕，移除6层并触发1次月蚀；否则施加4月痕。</x:v>
      </x:c>
      <x:c r="P12" s="11" t="str">
        <x:v>回生4。抽1张牌。进入冰。</x:v>
      </x:c>
      <x:c r="Q12" s="11" t="str">
        <x:v>支付3生命。获得3霜。消耗。</x:v>
      </x:c>
      <x:c r="R12" s="11" t="str">
        <x:v>抽3张牌。若本牌开始结算时处于月，回生1。</x:v>
      </x:c>
      <x:c r="S12" s="11" t="str">
        <x:v>获得5点格挡。抽2张牌，然后弃1张牌。</x:v>
      </x:c>
      <x:c r="T12" s="11" t="str">
        <x:v>造成5点伤害2次；每击后施加1月痕。</x:v>
      </x:c>
      <x:c r="U12" s="11" t="str">
        <x:v>造成11点伤害。若本回合已经主动切换过冰月形态，抽1张牌。</x:v>
      </x:c>
      <x:c r="V12" s="11" t="str">
        <x:v>对所有敌人造成10点伤害，并各施加1月痕。</x:v>
      </x:c>
      <x:c r="W12" s="11" t="str">
        <x:v>获得8点格挡。对所有敌人施加1月痕。</x:v>
      </x:c>
      <x:c r="X12" s="11" t="str">
        <x:v>消耗最多2霜。获得6点格挡，每消耗1霜额外获得4点格挡。</x:v>
      </x:c>
      <x:c r="Y12" s="11" t="str">
        <x:v>造成10点伤害。若目标此时至少有4月痕，施加2层虚弱。</x:v>
      </x:c>
      <x:c r="Z12" s="11" t="str">
        <x:v>获得2霜。施加2月痕。选择进入冰或月。</x:v>
      </x:c>
      <x:c r="AA12" s="11" t="str">
        <x:v>每回合你的前2次月蚀结算结束后，各获得2霜。</x:v>
      </x:c>
      <x:c r="AB12" s="11" t="str">
        <x:v>你的月蚀每结算一击，获得2点格挡。</x:v>
      </x:c>
      <x:c r="AC12" s="11" t="str">
        <x:v>每回合首次主动切换冰月形态时，抽2张牌。</x:v>
      </x:c>
      <x:c r="AD12" s="11" t="str">
        <x:v>获得7加上当前霜数2倍的格挡。不消耗霜。</x:v>
      </x:c>
      <x:c r="AE12" s="11" t="str">
        <x:v>造成20点伤害。若当前至少有4霜，施加2层虚弱。</x:v>
      </x:c>
      <x:c r="AF12" s="11" t="str">
        <x:v>消耗最多3霜。造成16点伤害，每消耗1霜额外造成5点伤害。</x:v>
      </x:c>
      <x:c r="AG12" s="11" t="str">
        <x:v>消耗2霜。抽3张牌。消耗。</x:v>
      </x:c>
      <x:c r="AH12" s="11" t="str">
        <x:v>保留。从抽牌堆选1张攻击牌加入手牌。获得7点格挡。</x:v>
      </x:c>
      <x:c r="AI12" s="11" t="str">
        <x:v>施加6月痕。抽1张牌。</x:v>
      </x:c>
      <x:c r="AJ12" s="11" t="str">
        <x:v>对所有敌人施加3月痕。抽1张牌。</x:v>
      </x:c>
      <x:c r="AK12" s="11" t="str">
        <x:v>移除目标最多3月痕；每移除1层，获得4点格挡。若移除了3层，抽1张牌。</x:v>
      </x:c>
      <x:c r="AL12" s="11" t="str">
        <x:v>移除目标最多3月痕。造成7点伤害，每移除1层额外造成4点伤害。</x:v>
      </x:c>
      <x:c r="AM12" s="11" t="str">
        <x:v>造成16点伤害。施加2月痕。结算结束时，若本牌触发过月蚀，获得2霜并回生2。</x:v>
      </x:c>
      <x:c r="AN12" s="11" t="str">
        <x:v>按开始形态执行。冰：获得11格挡、施加2月痕，进入月。月：回生4、获得2霜，进入冰。血月：获得11格挡并回生4，保持血月。</x:v>
      </x:c>
      <x:c r="AO12" s="11" t="str">
        <x:v>从弃牌堆选2张牌加入手牌，并在本次回合结束时保留。消耗。</x:v>
      </x:c>
      <x:c r="AP12" s="11" t="str">
        <x:v>支付4生命。获得1能量。抽2张牌。消耗。</x:v>
      </x:c>
      <x:c r="AQ12" s="11" t="str">
        <x:v>恢复6生命。消耗。</x:v>
      </x:c>
      <x:c r="AR12" s="11" t="str">
        <x:v>获得8点格挡。回生8。</x:v>
      </x:c>
      <x:c r="AS12" s="11" t="str">
        <x:v>每回合首次主动支付生命后，获得3点格挡并抽1张牌。</x:v>
      </x:c>
      <x:c r="AT12" s="11" t="str">
        <x:v>获得10点格挡。若本回合曾主动支付生命，抽1张牌。</x:v>
      </x:c>
      <x:c r="AU12" s="11" t="str">
        <x:v>选择支付0、2或4生命。造成10点伤害，每点本次选择支付的生命额外造成2点伤害。</x:v>
      </x:c>
      <x:c r="AV12" s="11" t="str">
        <x:v>每回合首次月蚀结算结束后，将1张月屑+加入手牌。</x:v>
      </x:c>
      <x:c r="AW12" s="11" t="str">
        <x:v>霜上限增加3。回合结束时，若至少有6霜，获得4点格挡。</x:v>
      </x:c>
      <x:c r="AX12" s="11" t="str">
        <x:v>抽4张牌，然后弃1张牌。</x:v>
      </x:c>
      <x:c r="AY12" s="11" t="str">
        <x:v>造成8点伤害2次，然后施加3月痕。</x:v>
      </x:c>
      <x:c r="AZ12" s="11" t="str">
        <x:v>消耗1霜。获得10点格挡。消耗。</x:v>
      </x:c>
      <x:c r="BA12" s="11" t="str">
        <x:v>获得9点格挡。选择进入冰或月；若因此实际切换了基础形态，抽1张牌。</x:v>
      </x:c>
      <x:c r="BB12" s="11" t="str">
        <x:v>每次进入血月时，抽3张牌。每次血月期间首次完成月蚀后，回生4。</x:v>
      </x:c>
      <x:c r="BC12" s="11" t="str">
        <x:v>每回合前两次主动切换冰月形态时，各抽1张牌；第二次还获得1能量。</x:v>
      </x:c>
      <x:c r="BD12" s="11" t="str">
        <x:v>每回合开始时获得1霜。回合结束时若至少有4霜，将最多12点当前格挡保留到下一回合。</x:v>
      </x:c>
      <x:c r="BE12" s="11" t="str">
        <x:v>月蚀每击基础伤害增加2。每回合首次月蚀结算结束后，回生2。</x:v>
      </x:c>
      <x:c r="BF12" s="11" t="str">
        <x:v>造成12点伤害。施加8月痕；若本次施加触发过月蚀且目标仍存活，再造成12点伤害。</x:v>
      </x:c>
      <x:c r="BG12" s="11" t="str">
        <x:v>支付3生命。造成9点伤害X+1次。消耗。</x:v>
      </x:c>
      <x:c r="BH12" s="11" t="str">
        <x:v>获得26点格挡。回生10。进入冰。消耗。</x:v>
      </x:c>
      <x:c r="BI12" s="11" t="str">
        <x:v>支付5生命。获得2能量。抽3张牌。消耗。</x:v>
      </x:c>
      <x:c r="BJ12" s="11" t="str">
        <x:v>恢复9生命。若本牌开始时处于冰，获得2霜。消耗。</x:v>
      </x:c>
      <x:c r="BK12" s="11" t="str">
        <x:v>从抽牌堆选1张非X费用攻击牌加入手牌；其本回合费用变为0。获得9点格挡。消耗。</x:v>
      </x:c>
      <x:c r="BL12" s="11" t="str">
        <x:v>对所有敌人造成16点伤害。回生等于本牌实际造成的生命损失总和，最多8。进入冰。消耗。</x:v>
      </x:c>
      <x:c r="BM12" s="11" t="str">
        <x:v>月蚀增加2击。</x:v>
      </x:c>
    </x:row>
    <x:row r="13" ht="28" customHeight="1">
      <x:c r="A13" s="20" t="str">
        <x:v>升级改动</x:v>
      </x:c>
      <x:c r="B13" s="21" t="str">
        <x:v>伤害6→9</x:v>
      </x:c>
      <x:c r="C13" s="21" t="str">
        <x:v>格挡5→8</x:v>
      </x:c>
      <x:c r="D13" s="21" t="str">
        <x:v>伤害5→8</x:v>
      </x:c>
      <x:c r="E13" s="21" t="str">
        <x:v>格挡7→10；回生2→3</x:v>
      </x:c>
      <x:c r="F13" s="21" t="str">
        <x:v>伤害9→12</x:v>
      </x:c>
      <x:c r="G13" s="21" t="str">
        <x:v>每击5→7；格挡3→5</x:v>
      </x:c>
      <x:c r="H13" s="21" t="str">
        <x:v>格挡6→9</x:v>
      </x:c>
      <x:c r="I13" s="21" t="str">
        <x:v>格挡5→8</x:v>
      </x:c>
      <x:c r="J13" s="21" t="str">
        <x:v>月痕2→3</x:v>
      </x:c>
      <x:c r="K13" s="21" t="str">
        <x:v>伤害7→10</x:v>
      </x:c>
      <x:c r="L13" s="21" t="str">
        <x:v>格挡5→8</x:v>
      </x:c>
      <x:c r="M13" s="21" t="str">
        <x:v>基础伤害8→11</x:v>
      </x:c>
      <x:c r="N13" s="21" t="str">
        <x:v>格挡8→11</x:v>
      </x:c>
      <x:c r="O13" s="21" t="str">
        <x:v>不足6层时施加3→4</x:v>
      </x:c>
      <x:c r="P13" s="21" t="str">
        <x:v>回生3→4</x:v>
      </x:c>
      <x:c r="Q13" s="21" t="str">
        <x:v>霜2→3</x:v>
      </x:c>
      <x:c r="R13" s="21" t="str">
        <x:v>抽牌2→3</x:v>
      </x:c>
      <x:c r="S13" s="21" t="str">
        <x:v>格挡3→5</x:v>
      </x:c>
      <x:c r="T13" s="21" t="str">
        <x:v>每击4→5</x:v>
      </x:c>
      <x:c r="U13" s="21" t="str">
        <x:v>伤害8→11</x:v>
      </x:c>
      <x:c r="V13" s="21" t="str">
        <x:v>群体伤害7→10</x:v>
      </x:c>
      <x:c r="W13" s="21" t="str">
        <x:v>格挡5→8</x:v>
      </x:c>
      <x:c r="X13" s="21" t="str">
        <x:v>基础格挡4→6</x:v>
      </x:c>
      <x:c r="Y13" s="21" t="str">
        <x:v>伤害7→10；虚弱1→2</x:v>
      </x:c>
      <x:c r="Z13" s="21" t="str">
        <x:v>费用1→0</x:v>
      </x:c>
      <x:c r="AA13" s="21" t="str">
        <x:v>每次霜1→2</x:v>
      </x:c>
      <x:c r="AB13" s="21" t="str">
        <x:v>每击格挡1→2</x:v>
      </x:c>
      <x:c r="AC13" s="21" t="str">
        <x:v>抽牌1→2</x:v>
      </x:c>
      <x:c r="AD13" s="21" t="str">
        <x:v>基础格挡4→7</x:v>
      </x:c>
      <x:c r="AE13" s="21" t="str">
        <x:v>伤害16→20</x:v>
      </x:c>
      <x:c r="AF13" s="21" t="str">
        <x:v>基础伤害12→16</x:v>
      </x:c>
      <x:c r="AG13" s="21" t="str">
        <x:v>抽牌2→3</x:v>
      </x:c>
      <x:c r="AH13" s="21" t="str">
        <x:v>格挡4→7</x:v>
      </x:c>
      <x:c r="AI13" s="21" t="str">
        <x:v>月痕5→6</x:v>
      </x:c>
      <x:c r="AJ13" s="21" t="str">
        <x:v>群体月痕2→3</x:v>
      </x:c>
      <x:c r="AK13" s="21" t="str">
        <x:v>每层格挡3→4</x:v>
      </x:c>
      <x:c r="AL13" s="21" t="str">
        <x:v>基础伤害4→7</x:v>
      </x:c>
      <x:c r="AM13" s="21" t="str">
        <x:v>伤害12→16</x:v>
      </x:c>
      <x:c r="AN13" s="21" t="str">
        <x:v>格挡8→11；回生3→4</x:v>
      </x:c>
      <x:c r="AO13" s="21" t="str">
        <x:v>回收1→2张</x:v>
      </x:c>
      <x:c r="AP13" s="21" t="str">
        <x:v>抽牌1→2</x:v>
      </x:c>
      <x:c r="AQ13" s="21" t="str">
        <x:v>真正治疗4→6</x:v>
      </x:c>
      <x:c r="AR13" s="21" t="str">
        <x:v>格挡5→8；回生6→8</x:v>
      </x:c>
      <x:c r="AS13" s="21" t="str">
        <x:v>费用1→0</x:v>
      </x:c>
      <x:c r="AT13" s="21" t="str">
        <x:v>格挡7→10</x:v>
      </x:c>
      <x:c r="AU13" s="21" t="str">
        <x:v>基础伤害7→10</x:v>
      </x:c>
      <x:c r="AV13" s="21" t="str">
        <x:v>生成月屑→月屑+</x:v>
      </x:c>
      <x:c r="AW13" s="21" t="str">
        <x:v>霜上限+2→+3</x:v>
      </x:c>
      <x:c r="AX13" s="21" t="str">
        <x:v>抽牌3→4</x:v>
      </x:c>
      <x:c r="AY13" s="21" t="str">
        <x:v>每击6→8</x:v>
      </x:c>
      <x:c r="AZ13" s="21" t="str">
        <x:v>格挡7→10</x:v>
      </x:c>
      <x:c r="BA13" s="21" t="str">
        <x:v>格挡6→9</x:v>
      </x:c>
      <x:c r="BB13" s="21" t="str">
        <x:v>入血月抽牌2→3</x:v>
      </x:c>
      <x:c r="BC13" s="21" t="str">
        <x:v>费用2→1</x:v>
      </x:c>
      <x:c r="BD13" s="21" t="str">
        <x:v>保留格挡上限8→12</x:v>
      </x:c>
      <x:c r="BE13" s="21" t="str">
        <x:v>每击增伤1→2</x:v>
      </x:c>
      <x:c r="BF13" s="21" t="str">
        <x:v>前后伤害各9→12</x:v>
      </x:c>
      <x:c r="BG13" s="21" t="str">
        <x:v>每击7→9</x:v>
      </x:c>
      <x:c r="BH13" s="21" t="str">
        <x:v>格挡20→26；回生8→10</x:v>
      </x:c>
      <x:c r="BI13" s="21" t="str">
        <x:v>抽牌2→3</x:v>
      </x:c>
      <x:c r="BJ13" s="21" t="str">
        <x:v>真正治疗6→9</x:v>
      </x:c>
      <x:c r="BK13" s="21" t="str">
        <x:v>格挡6→9</x:v>
      </x:c>
      <x:c r="BL13" s="21" t="str">
        <x:v>伤害12→16；回生上限6→8</x:v>
      </x:c>
      <x:c r="BM13" s="21" t="str">
        <x:v>移除每击减伤</x:v>
      </x:c>
    </x:row>
    <x:row r="14" ht="28" customHeight="1">
      <x:c r="A14" s="10" t="str">
        <x:v>机制</x:v>
      </x:c>
      <x:c r="B14" s="11" t="str">
        <x:v>基础数值</x:v>
      </x:c>
      <x:c r="C14" s="11" t="str">
        <x:v>基础数值</x:v>
      </x:c>
      <x:c r="D14" s="11" t="str">
        <x:v>月痕、进入</x:v>
      </x:c>
      <x:c r="E14" s="11" t="str">
        <x:v>回生、进入</x:v>
      </x:c>
      <x:c r="F14" s="11" t="str">
        <x:v>支付、霜</x:v>
      </x:c>
      <x:c r="G14" s="11" t="str">
        <x:v>霜、消耗</x:v>
      </x:c>
      <x:c r="H14" s="11" t="str">
        <x:v>霜、进入</x:v>
      </x:c>
      <x:c r="I14" s="11" t="str">
        <x:v>月痕、进入</x:v>
      </x:c>
      <x:c r="J14" s="11" t="str">
        <x:v>月痕</x:v>
      </x:c>
      <x:c r="K14" s="11" t="str">
        <x:v>月痕</x:v>
      </x:c>
      <x:c r="L14" s="11" t="str">
        <x:v>月痕</x:v>
      </x:c>
      <x:c r="M14" s="11" t="str">
        <x:v>霜、消耗</x:v>
      </x:c>
      <x:c r="N14" s="11" t="str">
        <x:v>保留</x:v>
      </x:c>
      <x:c r="O14" s="11" t="str">
        <x:v>月痕、月蚀</x:v>
      </x:c>
      <x:c r="P14" s="11" t="str">
        <x:v>回生、抽、进入</x:v>
      </x:c>
      <x:c r="Q14" s="11" t="str">
        <x:v>支付、霜、消耗</x:v>
      </x:c>
      <x:c r="R14" s="11" t="str">
        <x:v>回生、抽</x:v>
      </x:c>
      <x:c r="S14" s="11" t="str">
        <x:v>抽</x:v>
      </x:c>
      <x:c r="T14" s="11" t="str">
        <x:v>月痕</x:v>
      </x:c>
      <x:c r="U14" s="11" t="str">
        <x:v>抽</x:v>
      </x:c>
      <x:c r="V14" s="11" t="str">
        <x:v>月痕</x:v>
      </x:c>
      <x:c r="W14" s="11" t="str">
        <x:v>月痕</x:v>
      </x:c>
      <x:c r="X14" s="11" t="str">
        <x:v>霜、消耗</x:v>
      </x:c>
      <x:c r="Y14" s="11" t="str">
        <x:v>月痕</x:v>
      </x:c>
      <x:c r="Z14" s="11" t="str">
        <x:v>霜、月痕、进入</x:v>
      </x:c>
      <x:c r="AA14" s="11" t="str">
        <x:v>霜、月蚀</x:v>
      </x:c>
      <x:c r="AB14" s="11" t="str">
        <x:v>月蚀</x:v>
      </x:c>
      <x:c r="AC14" s="11" t="str">
        <x:v>抽</x:v>
      </x:c>
      <x:c r="AD14" s="11" t="str">
        <x:v>霜、消耗</x:v>
      </x:c>
      <x:c r="AE14" s="11" t="str">
        <x:v>霜</x:v>
      </x:c>
      <x:c r="AF14" s="11" t="str">
        <x:v>霜、消耗</x:v>
      </x:c>
      <x:c r="AG14" s="11" t="str">
        <x:v>霜、消耗、抽</x:v>
      </x:c>
      <x:c r="AH14" s="11" t="str">
        <x:v>保留、抽</x:v>
      </x:c>
      <x:c r="AI14" s="11" t="str">
        <x:v>月痕、抽</x:v>
      </x:c>
      <x:c r="AJ14" s="11" t="str">
        <x:v>月痕、抽</x:v>
      </x:c>
      <x:c r="AK14" s="11" t="str">
        <x:v>月痕、抽</x:v>
      </x:c>
      <x:c r="AL14" s="11" t="str">
        <x:v>月痕</x:v>
      </x:c>
      <x:c r="AM14" s="11" t="str">
        <x:v>霜、月痕、月蚀、回生</x:v>
      </x:c>
      <x:c r="AN14" s="11" t="str">
        <x:v>霜、月痕、回生、进入</x:v>
      </x:c>
      <x:c r="AO14" s="11" t="str">
        <x:v>保留、消耗</x:v>
      </x:c>
      <x:c r="AP14" s="11" t="str">
        <x:v>支付、消耗、抽</x:v>
      </x:c>
      <x:c r="AQ14" s="11" t="str">
        <x:v>恢复、消耗</x:v>
      </x:c>
      <x:c r="AR14" s="11" t="str">
        <x:v>回生</x:v>
      </x:c>
      <x:c r="AS14" s="11" t="str">
        <x:v>支付、抽</x:v>
      </x:c>
      <x:c r="AT14" s="11" t="str">
        <x:v>支付、抽</x:v>
      </x:c>
      <x:c r="AU14" s="11" t="str">
        <x:v>支付</x:v>
      </x:c>
      <x:c r="AV14" s="11" t="str">
        <x:v>月蚀</x:v>
      </x:c>
      <x:c r="AW14" s="11" t="str">
        <x:v>霜</x:v>
      </x:c>
      <x:c r="AX14" s="11" t="str">
        <x:v>抽</x:v>
      </x:c>
      <x:c r="AY14" s="11" t="str">
        <x:v>月痕</x:v>
      </x:c>
      <x:c r="AZ14" s="11" t="str">
        <x:v>霜、消耗</x:v>
      </x:c>
      <x:c r="BA14" s="11" t="str">
        <x:v>抽、进入</x:v>
      </x:c>
      <x:c r="BB14" s="11" t="str">
        <x:v>月蚀、回生、抽、进入</x:v>
      </x:c>
      <x:c r="BC14" s="11" t="str">
        <x:v>抽</x:v>
      </x:c>
      <x:c r="BD14" s="11" t="str">
        <x:v>霜、保留</x:v>
      </x:c>
      <x:c r="BE14" s="11" t="str">
        <x:v>月蚀、回生</x:v>
      </x:c>
      <x:c r="BF14" s="11" t="str">
        <x:v>月痕、月蚀</x:v>
      </x:c>
      <x:c r="BG14" s="11" t="str">
        <x:v>支付、消耗</x:v>
      </x:c>
      <x:c r="BH14" s="11" t="str">
        <x:v>回生、消耗、进入</x:v>
      </x:c>
      <x:c r="BI14" s="11" t="str">
        <x:v>支付、消耗、抽</x:v>
      </x:c>
      <x:c r="BJ14" s="11" t="str">
        <x:v>霜、恢复、消耗</x:v>
      </x:c>
      <x:c r="BK14" s="11" t="str">
        <x:v>消耗、抽</x:v>
      </x:c>
      <x:c r="BL14" s="11" t="str">
        <x:v>回生、消耗、进入</x:v>
      </x:c>
      <x:c r="BM14" s="11" t="str">
        <x:v>月蚀</x:v>
      </x:c>
    </x:row>
    <x:row r="15" ht="28" customHeight="1">
      <x:c r="A15" s="10" t="str">
        <x:v>设计职责</x:v>
      </x:c>
      <x:c r="B15" s="3" t="str">
        <x:v>基础攻击</x:v>
      </x:c>
      <x:c r="C15" s="3" t="str">
        <x:v>基础防御</x:v>
      </x:c>
      <x:c r="D15" s="3" t="str">
        <x:v>月入口／叠层</x:v>
      </x:c>
      <x:c r="E15" s="3" t="str">
        <x:v>冰入口／恢复</x:v>
      </x:c>
      <x:c r="F15" s="3" t="str">
        <x:v>自损／产霜／输出</x:v>
      </x:c>
      <x:c r="G15" s="3" t="str">
        <x:v>多段输出／资源防御</x:v>
      </x:c>
      <x:c r="H15" s="3" t="str">
        <x:v>防御／产霜／入口</x:v>
      </x:c>
      <x:c r="I15" s="3" t="str">
        <x:v>防御入口／叠层</x:v>
      </x:c>
      <x:c r="J15" s="3" t="str">
        <x:v>低费叠层</x:v>
      </x:c>
      <x:c r="K15" s="3" t="str">
        <x:v>基础攻击桥梁</x:v>
      </x:c>
      <x:c r="L15" s="3" t="str">
        <x:v>防御桥梁</x:v>
      </x:c>
      <x:c r="M15" s="3" t="str">
        <x:v>消耗霜／输出</x:v>
      </x:c>
      <x:c r="N15" s="3" t="str">
        <x:v>可保留防御</x:v>
      </x:c>
      <x:c r="O15" s="3" t="str">
        <x:v>提前引爆／补层</x:v>
      </x:c>
      <x:c r="P15" s="3" t="str">
        <x:v>恢复／过牌／入口</x:v>
      </x:c>
      <x:c r="Q15" s="3" t="str">
        <x:v>加速产霜／调血</x:v>
      </x:c>
      <x:c r="R15" s="3" t="str">
        <x:v>抽牌／小额回生</x:v>
      </x:c>
      <x:c r="S15" s="3" t="str">
        <x:v>筛手／防御</x:v>
      </x:c>
      <x:c r="T15" s="3" t="str">
        <x:v>多段攻击／分次叠层</x:v>
      </x:c>
      <x:c r="U15" s="3" t="str">
        <x:v>切换回报／过牌</x:v>
      </x:c>
      <x:c r="V15" s="3" t="str">
        <x:v>群攻／铺层</x:v>
      </x:c>
      <x:c r="W15" s="3" t="str">
        <x:v>群体叠层／防御</x:v>
      </x:c>
      <x:c r="X15" s="3" t="str">
        <x:v>资源换防御</x:v>
      </x:c>
      <x:c r="Y15" s="3" t="str">
        <x:v>阈值条件／减益</x:v>
      </x:c>
      <x:c r="Z15" s="3" t="str">
        <x:v>资源桥梁／可选入口</x:v>
      </x:c>
      <x:c r="AA15" s="3" t="str">
        <x:v>月蚀返霜</x:v>
      </x:c>
      <x:c r="AB15" s="3" t="str">
        <x:v>击数转防御</x:v>
      </x:c>
      <x:c r="AC15" s="3" t="str">
        <x:v>切换过牌</x:v>
      </x:c>
      <x:c r="AD15" s="3" t="str">
        <x:v>存量防御</x:v>
      </x:c>
      <x:c r="AE15" s="3" t="str">
        <x:v>高霜输出／减益</x:v>
      </x:c>
      <x:c r="AF15" s="3" t="str">
        <x:v>霜的集中兑现</x:v>
      </x:c>
      <x:c r="AG15" s="3" t="str">
        <x:v>霜换抽牌</x:v>
      </x:c>
      <x:c r="AH15" s="3" t="str">
        <x:v>攻击检索／防御</x:v>
      </x:c>
      <x:c r="AI15" s="3" t="str">
        <x:v>高密度叠层</x:v>
      </x:c>
      <x:c r="AJ15" s="3" t="str">
        <x:v>群体铺层／过牌</x:v>
      </x:c>
      <x:c r="AK15" s="3" t="str">
        <x:v>月痕换防御</x:v>
      </x:c>
      <x:c r="AL15" s="3" t="str">
        <x:v>月痕换攻击</x:v>
      </x:c>
      <x:c r="AM15" s="3" t="str">
        <x:v>引爆后返资源</x:v>
      </x:c>
      <x:c r="AN15" s="3" t="str">
        <x:v>双向桥梁／血月守护</x:v>
      </x:c>
      <x:c r="AO15" s="3" t="str">
        <x:v>定向回收／跨回合准备</x:v>
      </x:c>
      <x:c r="AP15" s="3" t="str">
        <x:v>付血换行动</x:v>
      </x:c>
      <x:c r="AQ15" s="3" t="str">
        <x:v>治疗敌伤／重新蓄势</x:v>
      </x:c>
      <x:c r="AR15" s="3" t="str">
        <x:v>大额自损返还</x:v>
      </x:c>
      <x:c r="AS15" s="3" t="str">
        <x:v>自损事件回报</x:v>
      </x:c>
      <x:c r="AT15" s="3" t="str">
        <x:v>付血后的防御／抽牌</x:v>
      </x:c>
      <x:c r="AU15" s="3" t="str">
        <x:v>精细调血／弹性攻击</x:v>
      </x:c>
      <x:c r="AV15" s="3" t="str">
        <x:v>生成叠层／留给后续回合</x:v>
      </x:c>
      <x:c r="AW15" s="3" t="str">
        <x:v>储量扩展／持有回报</x:v>
      </x:c>
      <x:c r="AX15" s="3" t="str">
        <x:v>筛手／寻找组件</x:v>
      </x:c>
      <x:c r="AY15" s="3" t="str">
        <x:v>多段攻击／高密度叠层</x:v>
      </x:c>
      <x:c r="AZ15" s="3" t="str">
        <x:v>紧急防御／资源转换</x:v>
      </x:c>
      <x:c r="BA15" s="3" t="str">
        <x:v>可选出口／过牌</x:v>
      </x:c>
      <x:c r="BB15" s="3" t="str">
        <x:v>血月构筑支点</x:v>
      </x:c>
      <x:c r="BC15" s="3" t="str">
        <x:v>双向循环引擎</x:v>
      </x:c>
      <x:c r="BD15" s="3" t="str">
        <x:v>高霜防御成长</x:v>
      </x:c>
      <x:c r="BE15" s="3" t="str">
        <x:v>月蚀成长／回生</x:v>
      </x:c>
      <x:c r="BF15" s="3" t="str">
        <x:v>独立引爆／终结攻击</x:v>
      </x:c>
      <x:c r="BG15" s="3" t="str">
        <x:v>能量汇聚／多段终结</x:v>
      </x:c>
      <x:c r="BH15" s="3" t="str">
        <x:v>强防御出口／恢复</x:v>
      </x:c>
      <x:c r="BI15" s="3" t="str">
        <x:v>爆发启动</x:v>
      </x:c>
      <x:c r="BJ15" s="3" t="str">
        <x:v>治疗敌伤／产霜</x:v>
      </x:c>
      <x:c r="BK15" s="3" t="str">
        <x:v>检索／费用转换</x:v>
      </x:c>
      <x:c r="BL15" s="3" t="str">
        <x:v>群攻／恢复／出口</x:v>
      </x:c>
      <x:c r="BM15" s="3" t="str">
        <x:v>击数构筑支点</x:v>
      </x:c>
    </x:row>
    <x:row r="16" ht="28" customHeight="1">
      <x:c r="A16" s="10" t="str">
        <x:v>适配方向</x:v>
      </x:c>
      <x:c r="B16" s="11" t="str">
        <x:v>泛用、血月</x:v>
      </x:c>
      <x:c r="C16" s="11" t="str">
        <x:v>泛用、控霜</x:v>
      </x:c>
      <x:c r="D16" s="11" t="str">
        <x:v>切换、月蚀</x:v>
      </x:c>
      <x:c r="E16" s="11" t="str">
        <x:v>切换、血月、控霜</x:v>
      </x:c>
      <x:c r="F16" s="11" t="str">
        <x:v>冰爆、月蚀、血月</x:v>
      </x:c>
      <x:c r="G16" s="11" t="str">
        <x:v>冰爆、血月</x:v>
      </x:c>
      <x:c r="H16" s="11" t="str">
        <x:v>切换、控霜</x:v>
      </x:c>
      <x:c r="I16" s="11" t="str">
        <x:v>切换、月蚀</x:v>
      </x:c>
      <x:c r="J16" s="11" t="str">
        <x:v>月蚀、控霜</x:v>
      </x:c>
      <x:c r="K16" s="11" t="str">
        <x:v>月蚀、血月</x:v>
      </x:c>
      <x:c r="L16" s="11" t="str">
        <x:v>控霜、月蚀</x:v>
      </x:c>
      <x:c r="M16" s="11" t="str">
        <x:v>冰爆、血月</x:v>
      </x:c>
      <x:c r="N16" s="11" t="str">
        <x:v>泛用、控霜、血月</x:v>
      </x:c>
      <x:c r="O16" s="11" t="str">
        <x:v>月蚀、切换</x:v>
      </x:c>
      <x:c r="P16" s="11" t="str">
        <x:v>切换、血月、月蚀</x:v>
      </x:c>
      <x:c r="Q16" s="11" t="str">
        <x:v>冰爆、控霜、血月</x:v>
      </x:c>
      <x:c r="R16" s="11" t="str">
        <x:v>泛用、月蚀、血月</x:v>
      </x:c>
      <x:c r="S16" s="11" t="str">
        <x:v>泛用、切换</x:v>
      </x:c>
      <x:c r="T16" s="11" t="str">
        <x:v>月蚀、血月</x:v>
      </x:c>
      <x:c r="U16" s="11" t="str">
        <x:v>切换、冰爆</x:v>
      </x:c>
      <x:c r="V16" s="11" t="str">
        <x:v>月蚀、血月</x:v>
      </x:c>
      <x:c r="W16" s="11" t="str">
        <x:v>控霜、月蚀</x:v>
      </x:c>
      <x:c r="X16" s="11" t="str">
        <x:v>控霜、血月</x:v>
      </x:c>
      <x:c r="Y16" s="11" t="str">
        <x:v>月蚀、泛用</x:v>
      </x:c>
      <x:c r="Z16" s="11" t="str">
        <x:v>切换、月蚀、控霜</x:v>
      </x:c>
      <x:c r="AA16" s="11" t="str">
        <x:v>月蚀、冰爆、控霜</x:v>
      </x:c>
      <x:c r="AB16" s="11" t="str">
        <x:v>月蚀、血月</x:v>
      </x:c>
      <x:c r="AC16" s="11" t="str">
        <x:v>切换、泛用</x:v>
      </x:c>
      <x:c r="AD16" s="11" t="str">
        <x:v>控霜、泛用</x:v>
      </x:c>
      <x:c r="AE16" s="11" t="str">
        <x:v>控霜、冰爆</x:v>
      </x:c>
      <x:c r="AF16" s="11" t="str">
        <x:v>冰爆、血月</x:v>
      </x:c>
      <x:c r="AG16" s="11" t="str">
        <x:v>控霜、冰爆、切换</x:v>
      </x:c>
      <x:c r="AH16" s="11" t="str">
        <x:v>冰爆、血月、泛用</x:v>
      </x:c>
      <x:c r="AI16" s="11" t="str">
        <x:v>月蚀、切换</x:v>
      </x:c>
      <x:c r="AJ16" s="11" t="str">
        <x:v>月蚀、切换</x:v>
      </x:c>
      <x:c r="AK16" s="11" t="str">
        <x:v>月蚀、血月</x:v>
      </x:c>
      <x:c r="AL16" s="11" t="str">
        <x:v>月蚀、血月</x:v>
      </x:c>
      <x:c r="AM16" s="11" t="str">
        <x:v>冰爆、月蚀、切换</x:v>
      </x:c>
      <x:c r="AN16" s="11" t="str">
        <x:v>切换、月蚀、血月</x:v>
      </x:c>
      <x:c r="AO16" s="11" t="str">
        <x:v>切换、冰爆、血月</x:v>
      </x:c>
      <x:c r="AP16" s="11" t="str">
        <x:v>血月、泛用</x:v>
      </x:c>
      <x:c r="AQ16" s="11" t="str">
        <x:v>泛用、血月</x:v>
      </x:c>
      <x:c r="AR16" s="11" t="str">
        <x:v>血月、切换、控霜</x:v>
      </x:c>
      <x:c r="AS16" s="11" t="str">
        <x:v>血月、泛用</x:v>
      </x:c>
      <x:c r="AT16" s="11" t="str">
        <x:v>血月、泛用</x:v>
      </x:c>
      <x:c r="AU16" s="11" t="str">
        <x:v>血月、月蚀</x:v>
      </x:c>
      <x:c r="AV16" s="11" t="str">
        <x:v>月蚀、切换</x:v>
      </x:c>
      <x:c r="AW16" s="11" t="str">
        <x:v>控霜、冰爆</x:v>
      </x:c>
      <x:c r="AX16" s="11" t="str">
        <x:v>泛用、切换</x:v>
      </x:c>
      <x:c r="AY16" s="11" t="str">
        <x:v>月蚀、血月</x:v>
      </x:c>
      <x:c r="AZ16" s="11" t="str">
        <x:v>控霜、血月</x:v>
      </x:c>
      <x:c r="BA16" s="11" t="str">
        <x:v>切换、泛用</x:v>
      </x:c>
      <x:c r="BB16" s="11" t="str">
        <x:v>血月、月蚀</x:v>
      </x:c>
      <x:c r="BC16" s="11" t="str">
        <x:v>切换、泛用</x:v>
      </x:c>
      <x:c r="BD16" s="11" t="str">
        <x:v>控霜、冰爆</x:v>
      </x:c>
      <x:c r="BE16" s="11" t="str">
        <x:v>月蚀、血月</x:v>
      </x:c>
      <x:c r="BF16" s="11" t="str">
        <x:v>月蚀、血月</x:v>
      </x:c>
      <x:c r="BG16" s="11" t="str">
        <x:v>血月、冰爆</x:v>
      </x:c>
      <x:c r="BH16" s="11" t="str">
        <x:v>血月、控霜、切换</x:v>
      </x:c>
      <x:c r="BI16" s="11" t="str">
        <x:v>血月、泛用</x:v>
      </x:c>
      <x:c r="BJ16" s="11" t="str">
        <x:v>血月、控霜、泛用</x:v>
      </x:c>
      <x:c r="BK16" s="11" t="str">
        <x:v>冰爆、血月、月蚀</x:v>
      </x:c>
      <x:c r="BL16" s="11" t="str">
        <x:v>血月、月蚀、切换</x:v>
      </x:c>
      <x:c r="BM16" s="11" t="str">
        <x:v>月蚀、血月</x:v>
      </x:c>
    </x:row>
    <x:row r="17" ht="60" customHeight="1">
      <x:c r="A17" s="10" t="str">
        <x:v>时序／审阅重点</x:v>
      </x:c>
      <x:c r="B17" s="3" t="str">
        <x:v>单体；月被动可以附加月痕；血月翻倍攻击伤害。</x:v>
      </x:c>
      <x:c r="C17" s="3" t="str">
        <x:v>在冰形态作为技能使用，可触发本回合前两次的产霜。</x:v>
      </x:c>
      <x:c r="D17" s="3" t="str">
        <x:v>从冰打出时不追溯获得月被动；在血月打出会在结算末提前退场。</x:v>
      </x:c>
      <x:c r="E17" s="3" t="str">
        <x:v>从月返回冰；回生不能治疗敌伤；若原本在冰则不算切换。</x:v>
      </x:c>
      <x:c r="F17" s="3" t="str">
        <x:v>月被动的额外1生命和1霜在牌面效果之前处理；本牌付血触发的血月从下一张牌生效。</x:v>
      </x:c>
      <x:c r="G17" s="3" t="str">
        <x:v>牌面消耗霜只在伤害后判定；月被动可能先用掉1霜。</x:v>
      </x:c>
      <x:c r="H17" s="3" t="str">
        <x:v>即使无可回收生命，仍有防御和产霜价值。</x:v>
      </x:c>
      <x:c r="I17" s="3" t="str">
        <x:v>技能牌进入月不额外烧血；本牌在冰开始则仍领取冰的技能产霜。</x:v>
      </x:c>
      <x:c r="J17" s="3" t="str">
        <x:v>无抽牌；强度需要计入抽到并占用一张手牌的成本。</x:v>
      </x:c>
      <x:c r="K17" s="3" t="str">
        <x:v>月形态有霜时可合计施加4月痕，但要付1生命、消耗1霜。</x:v>
      </x:c>
      <x:c r="L17" s="3" t="str">
        <x:v>冰形态可在防御时引爆月蚀并回生，不必每次留在月。</x:v>
      </x:c>
      <x:c r="M17" s="3" t="str">
        <x:v>本牌主动消耗量自动取当前霜与2的较小值；月被动消耗不算本牌增伤。</x:v>
      </x:c>
      <x:c r="N17" s="3" t="str">
        <x:v>为低血爆发回合留防御；没有额外状态要求。</x:v>
      </x:c>
      <x:c r="O17" s="3" t="str">
        <x:v>提前引爆保留未移除的层数；它不是移除全部月痕。</x:v>
      </x:c>
      <x:c r="P17" s="3" t="str">
        <x:v>需要防御时不能把回生当作格挡；血月中使用会提前结束爆发。</x:v>
      </x:c>
      <x:c r="Q17" s="3" t="str">
        <x:v>冰形态的技能产霜另算；不提供抽牌，且每副本每战通常一次。</x:v>
      </x:c>
      <x:c r="R17" s="3" t="str">
        <x:v>冰下侧重产霜，月下返少量自损；血月不同时被视为月。</x:v>
      </x:c>
      <x:c r="S17" s="3" t="str">
        <x:v>弃牌不触发任何本角色专属收益；用于找切换牌与关键攻击。</x:v>
      </x:c>
      <x:c r="T17" s="3" t="str">
        <x:v>每次施加独立结算，可先触发月蚀再打第二击；目标死亡取消后续攻击。</x:v>
      </x:c>
      <x:c r="U17" s="3" t="str">
        <x:v>血月入场与自动退场不满足条件；1费防止单靠本牌零费自循环。</x:v>
      </x:c>
      <x:c r="V17" s="3" t="str">
        <x:v>不是单体攻击，不触发月形态的付血附加月痕。</x:v>
      </x:c>
      <x:c r="W17" s="3" t="str">
        <x:v>各目标独立检查月蚀；冰形态回生仅领取本回合首次月蚀的一次。</x:v>
      </x:c>
      <x:c r="X17" s="3" t="str">
        <x:v>消耗霜与保持高霜的冻彻构成取舍；无霜仍有基础格挡。</x:v>
      </x:c>
      <x:c r="Y17" s="3" t="str">
        <x:v>检查发生在月被动的附加月痕之前；人工制品可抵挡虚弱。</x:v>
      </x:c>
      <x:c r="Z17" s="3" t="str">
        <x:v>进入相同形态不触发切换奖励；血月中选择基础形态会提前结束血月。</x:v>
      </x:c>
      <x:c r="AA17" s="3" t="str">
        <x:v>同一次月蚀按一次计算，不按段数；霜满时溢出丢弃。</x:v>
      </x:c>
      <x:c r="AB17" s="3" t="str">
        <x:v>被格挡的一击仍算；敌人死亡后未结算的击数不预支格挡。</x:v>
      </x:c>
      <x:c r="AC17" s="3" t="str">
        <x:v>同一回合反复进出不重置次数；血月出入不触发。</x:v>
      </x:c>
      <x:c r="AD17" s="3" t="str">
        <x:v>读取牌面执行到此处的霜；本牌触发的冰形态产霜在牌面结束后才给。</x:v>
      </x:c>
      <x:c r="AE17" s="3" t="str">
        <x:v>不消耗霜；但月被动可能在伤害前消耗1霜，使条件失效。</x:v>
      </x:c>
      <x:c r="AF17" s="3" t="str">
        <x:v>满额基础伤害27→31；血月下54→62，再计目标格挡与修正。</x:v>
      </x:c>
      <x:c r="AG17" s="3" t="str">
        <x:v>霜不足2不可打出；消耗保证单副本不能成为零费永久抽牌环。</x:v>
      </x:c>
      <x:c r="AH17" s="3" t="str">
        <x:v>检索不等于抽牌，不触发抽到事件；没有攻击牌时仅获得格挡。</x:v>
      </x:c>
      <x:c r="AI17" s="3" t="str">
        <x:v>升级改变与其他产痕牌拼到8层的组合，不降低费用。</x:v>
      </x:c>
      <x:c r="AJ17" s="3" t="str">
        <x:v>多目标时价值更高；人工制品按各目标分别处理。</x:v>
      </x:c>
      <x:c r="AK17" s="3" t="str">
        <x:v>月痕不足也可少量兑现；不会因此触发月蚀或月蚀回报。</x:v>
      </x:c>
      <x:c r="AL17" s="3" t="str">
        <x:v>可以放弃后续月蚀换即时斩杀；月被动在本牌结束前再补月痕。</x:v>
      </x:c>
      <x:c r="AM17" s="3" t="str">
        <x:v>包括本牌的月被动附加月痕；同牌触发多次月蚀也只返还一次。</x:v>
      </x:c>
      <x:c r="AN17" s="3" t="str">
        <x:v>只执行一个分支；血月分支是少量专属变化之一，不让全卡池都写三套描述。</x:v>
      </x:c>
      <x:c r="AO17" s="3" t="str">
        <x:v>不可回收正在结算的自己或消耗堆的牌；不改变被回收牌的费用。</x:v>
      </x:c>
      <x:c r="AP17" s="3" t="str">
        <x:v>生命须能全额非致命支付；本牌之后才可能进入血月。</x:v>
      </x:c>
      <x:c r="AQ17" s="3" t="str">
        <x:v>是真正治疗，可超过可回收额度；实际恢复仍会先冲销可回收生命。</x:v>
      </x:c>
      <x:c r="AR17" s="3" t="str">
        <x:v>不切形态，可在血月期间恢复而保留爆发窗口。</x:v>
      </x:c>
      <x:c r="AS17" s="3" t="str">
        <x:v>同牌主支付与月被动分开也只能领取本回合第一次；敌伤、荆棘不触发。</x:v>
      </x:c>
      <x:c r="AT17" s="3" t="str">
        <x:v>血月自身不自动烧血，但入场前的支付仍能满足本回合条件。</x:v>
      </x:c>
      <x:c r="AU17" s="3" t="str">
        <x:v>月被动的额外支付不加入本牌增伤；不能选择导致生命归零的档位。</x:v>
      </x:c>
      <x:c r="AV17" s="3" t="str">
        <x:v>生成牌保留且消耗；每回合只有一次生成机会，不按击数生成。</x:v>
      </x:c>
      <x:c r="AW17" s="3" t="str">
        <x:v>不同副本可叠加上限和回合末格挡；达到新上限也不自动切形态。</x:v>
      </x:c>
      <x:c r="AX17" s="3" t="str">
        <x:v>没有额外占卜或新资源；扩大找切换牌、引爆牌的能力。</x:v>
      </x:c>
      <x:c r="AY17" s="3" t="str">
        <x:v>月被动仅附加一次；牌面两击不会烧两次血。</x:v>
      </x:c>
      <x:c r="AZ17" s="3" t="str">
        <x:v>霜不足1不可打出；冰形态的产霜在支付之后结算，不能垫付。</x:v>
      </x:c>
      <x:c r="BA17" s="3" t="str">
        <x:v>血月→冰或月不计为冰月切换，不抽牌；相同形态也不抽。</x:v>
      </x:c>
      <x:c r="BB17" s="3" t="str">
        <x:v>打出时若已在血月，不补发入场抽牌；每个血月窗口只回血一次。</x:v>
      </x:c>
      <x:c r="BC17" s="3" t="str">
        <x:v>每回合封顶两次，切形态不重置计数；每个副本分别提供同次奖励。</x:v>
      </x:c>
      <x:c r="BD17" s="3" t="str">
        <x:v>不凭空产生格挡；检查时霜不足4就不保留；多个副本的保留上限相加。</x:v>
      </x:c>
      <x:c r="BE17" s="3" t="str">
        <x:v>回生按月蚀次数封顶一次；增伤先加再由血月乘2。</x:v>
      </x:c>
      <x:c r="BF17" s="3" t="str">
        <x:v>基础总伤害34→40；含一次完整月蚀；被人工制品挡住施加时可能没有后段。</x:v>
      </x:c>
      <x:c r="BG17" s="3" t="str">
        <x:v>X记录本牌消耗的能量；X=0仍打一击；月被动整张牌只处理一次。</x:v>
      </x:c>
      <x:c r="BH17" s="3" t="str">
        <x:v>明确以放弃剩余血月窗口换生存；回生仍受可回收额度限制。</x:v>
      </x:c>
      <x:c r="BI17" s="3" t="str">
        <x:v>与灼脉形成稀有度递进；不解除血月冷却，也不让濒死时免付生命。</x:v>
      </x:c>
      <x:c r="BJ17" s="3" t="str">
        <x:v>能帮助再次达到55%生命蓄势线；在月或血月也保留完整治疗。</x:v>
      </x:c>
      <x:c r="BK17" s="3" t="str">
        <x:v>无符合条件的牌时仍有格挡；并不自动打出，玩家可决定先回血还是先攻击。</x:v>
      </x:c>
      <x:c r="BL17" s="3" t="str">
        <x:v>格挡吸收与过量伤害不计回血；击杀最后敌人仍结算本牌回生，但玩家死亡不能靠它复活。</x:v>
      </x:c>
      <x:c r="BM17" s="3" t="str">
        <x:v>基础4×4变3×6；升级变4×6。多副本增加击数，未升级副本各减1基础伤害；潮汐随击数增加。</x:v>
      </x:c>
    </x:row>
    <x:row r="18" ht="28" customHeight="1">
      <x:c r="A18" s="10" t="str">
        <x:v>实现批次</x:v>
      </x:c>
      <x:c r="B18" s="11" t="str">
        <x:v>优先实现</x:v>
      </x:c>
      <x:c r="C18" s="11" t="str">
        <x:v>优先实现</x:v>
      </x:c>
      <x:c r="D18" s="11" t="str">
        <x:v>优先实现</x:v>
      </x:c>
      <x:c r="E18" s="11" t="str">
        <x:v>优先实现</x:v>
      </x:c>
      <x:c r="F18" s="11" t="str">
        <x:v>优先实现</x:v>
      </x:c>
      <x:c r="G18" s="11" t="str">
        <x:v>完整卡池候选</x:v>
      </x:c>
      <x:c r="H18" s="11" t="str">
        <x:v>完整卡池候选</x:v>
      </x:c>
      <x:c r="I18" s="11" t="str">
        <x:v>优先实现</x:v>
      </x:c>
      <x:c r="J18" s="11" t="str">
        <x:v>完整卡池候选</x:v>
      </x:c>
      <x:c r="K18" s="11" t="str">
        <x:v>优先实现</x:v>
      </x:c>
      <x:c r="L18" s="11" t="str">
        <x:v>优先实现</x:v>
      </x:c>
      <x:c r="M18" s="11" t="str">
        <x:v>完整卡池候选</x:v>
      </x:c>
      <x:c r="N18" s="11" t="str">
        <x:v>完整卡池候选</x:v>
      </x:c>
      <x:c r="O18" s="11" t="str">
        <x:v>优先实现</x:v>
      </x:c>
      <x:c r="P18" s="11" t="str">
        <x:v>优先实现</x:v>
      </x:c>
      <x:c r="Q18" s="11" t="str">
        <x:v>完整卡池候选</x:v>
      </x:c>
      <x:c r="R18" s="11" t="str">
        <x:v>优先实现</x:v>
      </x:c>
      <x:c r="S18" s="11" t="str">
        <x:v>完整卡池候选</x:v>
      </x:c>
      <x:c r="T18" s="11" t="str">
        <x:v>完整卡池候选</x:v>
      </x:c>
      <x:c r="U18" s="11" t="str">
        <x:v>完整卡池候选</x:v>
      </x:c>
      <x:c r="V18" s="11" t="str">
        <x:v>完整卡池候选</x:v>
      </x:c>
      <x:c r="W18" s="11" t="str">
        <x:v>完整卡池候选</x:v>
      </x:c>
      <x:c r="X18" s="11" t="str">
        <x:v>完整卡池候选</x:v>
      </x:c>
      <x:c r="Y18" s="11" t="str">
        <x:v>完整卡池候选</x:v>
      </x:c>
      <x:c r="Z18" s="11" t="str">
        <x:v>优先实现</x:v>
      </x:c>
      <x:c r="AA18" s="11" t="str">
        <x:v>完整卡池候选</x:v>
      </x:c>
      <x:c r="AB18" s="11" t="str">
        <x:v>优先实现</x:v>
      </x:c>
      <x:c r="AC18" s="11" t="str">
        <x:v>完整卡池候选</x:v>
      </x:c>
      <x:c r="AD18" s="11" t="str">
        <x:v>完整卡池候选</x:v>
      </x:c>
      <x:c r="AE18" s="11" t="str">
        <x:v>完整卡池候选</x:v>
      </x:c>
      <x:c r="AF18" s="11" t="str">
        <x:v>完整卡池候选</x:v>
      </x:c>
      <x:c r="AG18" s="11" t="str">
        <x:v>完整卡池候选</x:v>
      </x:c>
      <x:c r="AH18" s="11" t="str">
        <x:v>完整卡池候选</x:v>
      </x:c>
      <x:c r="AI18" s="11" t="str">
        <x:v>完整卡池候选</x:v>
      </x:c>
      <x:c r="AJ18" s="11" t="str">
        <x:v>完整卡池候选</x:v>
      </x:c>
      <x:c r="AK18" s="11" t="str">
        <x:v>完整卡池候选</x:v>
      </x:c>
      <x:c r="AL18" s="11" t="str">
        <x:v>完整卡池候选</x:v>
      </x:c>
      <x:c r="AM18" s="11" t="str">
        <x:v>优先实现</x:v>
      </x:c>
      <x:c r="AN18" s="11" t="str">
        <x:v>完整卡池候选</x:v>
      </x:c>
      <x:c r="AO18" s="11" t="str">
        <x:v>完整卡池候选</x:v>
      </x:c>
      <x:c r="AP18" s="11" t="str">
        <x:v>完整卡池候选</x:v>
      </x:c>
      <x:c r="AQ18" s="11" t="str">
        <x:v>完整卡池候选</x:v>
      </x:c>
      <x:c r="AR18" s="11" t="str">
        <x:v>优先实现</x:v>
      </x:c>
      <x:c r="AS18" s="11" t="str">
        <x:v>完整卡池候选</x:v>
      </x:c>
      <x:c r="AT18" s="11" t="str">
        <x:v>完整卡池候选</x:v>
      </x:c>
      <x:c r="AU18" s="11" t="str">
        <x:v>优先实现</x:v>
      </x:c>
      <x:c r="AV18" s="11" t="str">
        <x:v>完整卡池候选</x:v>
      </x:c>
      <x:c r="AW18" s="11" t="str">
        <x:v>完整卡池候选</x:v>
      </x:c>
      <x:c r="AX18" s="11" t="str">
        <x:v>完整卡池候选</x:v>
      </x:c>
      <x:c r="AY18" s="11" t="str">
        <x:v>完整卡池候选</x:v>
      </x:c>
      <x:c r="AZ18" s="11" t="str">
        <x:v>完整卡池候选</x:v>
      </x:c>
      <x:c r="BA18" s="11" t="str">
        <x:v>完整卡池候选</x:v>
      </x:c>
      <x:c r="BB18" s="11" t="str">
        <x:v>完整卡池候选</x:v>
      </x:c>
      <x:c r="BC18" s="11" t="str">
        <x:v>完整卡池候选</x:v>
      </x:c>
      <x:c r="BD18" s="11" t="str">
        <x:v>完整卡池候选</x:v>
      </x:c>
      <x:c r="BE18" s="11" t="str">
        <x:v>完整卡池候选</x:v>
      </x:c>
      <x:c r="BF18" s="11" t="str">
        <x:v>完整卡池候选</x:v>
      </x:c>
      <x:c r="BG18" s="11" t="str">
        <x:v>完整卡池候选</x:v>
      </x:c>
      <x:c r="BH18" s="11" t="str">
        <x:v>完整卡池候选</x:v>
      </x:c>
      <x:c r="BI18" s="11" t="str">
        <x:v>完整卡池候选</x:v>
      </x:c>
      <x:c r="BJ18" s="11" t="str">
        <x:v>完整卡池候选</x:v>
      </x:c>
      <x:c r="BK18" s="11" t="str">
        <x:v>完整卡池候选</x:v>
      </x:c>
      <x:c r="BL18" s="11" t="str">
        <x:v>完整卡池候选</x:v>
      </x:c>
      <x:c r="BM18" s="11" t="str">
        <x:v>完整卡池候选</x:v>
      </x:c>
    </x:row>
    <x:row r="19" ht="28" customHeight="1">
      <x:c r="A19" s="10" t="str">
        <x:v>审阅状态 · 可改</x:v>
      </x:c>
      <x:c r="B19" s="22" t="str">
        <x:v>待审阅</x:v>
      </x:c>
      <x:c r="C19" s="22" t="str">
        <x:v>待审阅</x:v>
      </x:c>
      <x:c r="D19" s="22" t="str">
        <x:v>待审阅</x:v>
      </x:c>
      <x:c r="E19" s="22" t="str">
        <x:v>待审阅</x:v>
      </x:c>
      <x:c r="F19" s="22" t="str">
        <x:v>待审阅</x:v>
      </x:c>
      <x:c r="G19" s="22" t="str">
        <x:v>待审阅</x:v>
      </x:c>
      <x:c r="H19" s="22" t="str">
        <x:v>待审阅</x:v>
      </x:c>
      <x:c r="I19" s="22" t="str">
        <x:v>待审阅</x:v>
      </x:c>
      <x:c r="J19" s="22" t="str">
        <x:v>待审阅</x:v>
      </x:c>
      <x:c r="K19" s="22" t="str">
        <x:v>待审阅</x:v>
      </x:c>
      <x:c r="L19" s="22" t="str">
        <x:v>待审阅</x:v>
      </x:c>
      <x:c r="M19" s="22" t="str">
        <x:v>待审阅</x:v>
      </x:c>
      <x:c r="N19" s="22" t="str">
        <x:v>待审阅</x:v>
      </x:c>
      <x:c r="O19" s="22" t="str">
        <x:v>待审阅</x:v>
      </x:c>
      <x:c r="P19" s="22" t="str">
        <x:v>待审阅</x:v>
      </x:c>
      <x:c r="Q19" s="22" t="str">
        <x:v>待审阅</x:v>
      </x:c>
      <x:c r="R19" s="22" t="str">
        <x:v>待审阅</x:v>
      </x:c>
      <x:c r="S19" s="22" t="str">
        <x:v>待审阅</x:v>
      </x:c>
      <x:c r="T19" s="22" t="str">
        <x:v>待审阅</x:v>
      </x:c>
      <x:c r="U19" s="22" t="str">
        <x:v>待审阅</x:v>
      </x:c>
      <x:c r="V19" s="22" t="str">
        <x:v>待审阅</x:v>
      </x:c>
      <x:c r="W19" s="22" t="str">
        <x:v>待审阅</x:v>
      </x:c>
      <x:c r="X19" s="22" t="str">
        <x:v>待审阅</x:v>
      </x:c>
      <x:c r="Y19" s="22" t="str">
        <x:v>待审阅</x:v>
      </x:c>
      <x:c r="Z19" s="22" t="str">
        <x:v>待审阅</x:v>
      </x:c>
      <x:c r="AA19" s="22" t="str">
        <x:v>待审阅</x:v>
      </x:c>
      <x:c r="AB19" s="22" t="str">
        <x:v>待审阅</x:v>
      </x:c>
      <x:c r="AC19" s="22" t="str">
        <x:v>待审阅</x:v>
      </x:c>
      <x:c r="AD19" s="22" t="str">
        <x:v>待审阅</x:v>
      </x:c>
      <x:c r="AE19" s="22" t="str">
        <x:v>待审阅</x:v>
      </x:c>
      <x:c r="AF19" s="22" t="str">
        <x:v>待审阅</x:v>
      </x:c>
      <x:c r="AG19" s="22" t="str">
        <x:v>待审阅</x:v>
      </x:c>
      <x:c r="AH19" s="22" t="str">
        <x:v>待审阅</x:v>
      </x:c>
      <x:c r="AI19" s="22" t="str">
        <x:v>待审阅</x:v>
      </x:c>
      <x:c r="AJ19" s="22" t="str">
        <x:v>待审阅</x:v>
      </x:c>
      <x:c r="AK19" s="22" t="str">
        <x:v>待审阅</x:v>
      </x:c>
      <x:c r="AL19" s="22" t="str">
        <x:v>待审阅</x:v>
      </x:c>
      <x:c r="AM19" s="22" t="str">
        <x:v>待审阅</x:v>
      </x:c>
      <x:c r="AN19" s="22" t="str">
        <x:v>待审阅</x:v>
      </x:c>
      <x:c r="AO19" s="22" t="str">
        <x:v>待审阅</x:v>
      </x:c>
      <x:c r="AP19" s="22" t="str">
        <x:v>待审阅</x:v>
      </x:c>
      <x:c r="AQ19" s="22" t="str">
        <x:v>待审阅</x:v>
      </x:c>
      <x:c r="AR19" s="22" t="str">
        <x:v>待审阅</x:v>
      </x:c>
      <x:c r="AS19" s="22" t="str">
        <x:v>待审阅</x:v>
      </x:c>
      <x:c r="AT19" s="22" t="str">
        <x:v>待审阅</x:v>
      </x:c>
      <x:c r="AU19" s="22" t="str">
        <x:v>待审阅</x:v>
      </x:c>
      <x:c r="AV19" s="22" t="str">
        <x:v>待审阅</x:v>
      </x:c>
      <x:c r="AW19" s="22" t="str">
        <x:v>待审阅</x:v>
      </x:c>
      <x:c r="AX19" s="22" t="str">
        <x:v>待审阅</x:v>
      </x:c>
      <x:c r="AY19" s="22" t="str">
        <x:v>待审阅</x:v>
      </x:c>
      <x:c r="AZ19" s="22" t="str">
        <x:v>待审阅</x:v>
      </x:c>
      <x:c r="BA19" s="22" t="str">
        <x:v>待审阅</x:v>
      </x:c>
      <x:c r="BB19" s="22" t="str">
        <x:v>待审阅</x:v>
      </x:c>
      <x:c r="BC19" s="22" t="str">
        <x:v>待审阅</x:v>
      </x:c>
      <x:c r="BD19" s="22" t="str">
        <x:v>待审阅</x:v>
      </x:c>
      <x:c r="BE19" s="22" t="str">
        <x:v>待审阅</x:v>
      </x:c>
      <x:c r="BF19" s="22" t="str">
        <x:v>待审阅</x:v>
      </x:c>
      <x:c r="BG19" s="22" t="str">
        <x:v>待审阅</x:v>
      </x:c>
      <x:c r="BH19" s="22" t="str">
        <x:v>待审阅</x:v>
      </x:c>
      <x:c r="BI19" s="22" t="str">
        <x:v>待审阅</x:v>
      </x:c>
      <x:c r="BJ19" s="22" t="str">
        <x:v>待审阅</x:v>
      </x:c>
      <x:c r="BK19" s="22" t="str">
        <x:v>待审阅</x:v>
      </x:c>
      <x:c r="BL19" s="22" t="str">
        <x:v>待审阅</x:v>
      </x:c>
      <x:c r="BM19" s="22" t="str">
        <x:v>待审阅</x:v>
      </x:c>
    </x:row>
    <x:row r="20" ht="65" customHeight="1">
      <x:c r="A20" s="10" t="str">
        <x:v>审阅意见 · 可填</x:v>
      </x:c>
      <x:c r="B20" s="22" t="str"/>
      <x:c r="C20" s="22" t="str"/>
      <x:c r="D20" s="22" t="str"/>
      <x:c r="E20" s="22" t="str"/>
      <x:c r="F20" s="22" t="str"/>
      <x:c r="G20" s="22" t="str"/>
      <x:c r="H20" s="22" t="str"/>
      <x:c r="I20" s="22" t="str"/>
      <x:c r="J20" s="22" t="str"/>
      <x:c r="K20" s="22" t="str"/>
      <x:c r="L20" s="22" t="str"/>
      <x:c r="M20" s="22" t="str"/>
      <x:c r="N20" s="22" t="str"/>
      <x:c r="O20" s="22" t="str"/>
      <x:c r="P20" s="22" t="str"/>
      <x:c r="Q20" s="22" t="str"/>
      <x:c r="R20" s="22" t="str"/>
      <x:c r="S20" s="22" t="str"/>
      <x:c r="T20" s="22" t="str"/>
      <x:c r="U20" s="22" t="str"/>
      <x:c r="V20" s="22" t="str"/>
      <x:c r="W20" s="22" t="str"/>
      <x:c r="X20" s="22" t="str"/>
      <x:c r="Y20" s="22" t="str"/>
      <x:c r="Z20" s="22" t="str"/>
      <x:c r="AA20" s="22" t="str"/>
      <x:c r="AB20" s="22" t="str"/>
      <x:c r="AC20" s="22" t="str"/>
      <x:c r="AD20" s="22" t="str"/>
      <x:c r="AE20" s="22" t="str"/>
      <x:c r="AF20" s="22" t="str"/>
      <x:c r="AG20" s="22" t="str"/>
      <x:c r="AH20" s="22" t="str"/>
      <x:c r="AI20" s="22" t="str"/>
      <x:c r="AJ20" s="22" t="str"/>
      <x:c r="AK20" s="22" t="str"/>
      <x:c r="AL20" s="22" t="str"/>
      <x:c r="AM20" s="22" t="str"/>
      <x:c r="AN20" s="22" t="str"/>
      <x:c r="AO20" s="22" t="str"/>
      <x:c r="AP20" s="22" t="str"/>
      <x:c r="AQ20" s="22" t="str"/>
      <x:c r="AR20" s="22" t="str"/>
      <x:c r="AS20" s="22" t="str"/>
      <x:c r="AT20" s="22" t="str"/>
      <x:c r="AU20" s="22" t="str"/>
      <x:c r="AV20" s="22" t="str"/>
      <x:c r="AW20" s="22" t="str"/>
      <x:c r="AX20" s="22" t="str"/>
      <x:c r="AY20" s="22" t="str"/>
      <x:c r="AZ20" s="22" t="str"/>
      <x:c r="BA20" s="22" t="str"/>
      <x:c r="BB20" s="22" t="str"/>
      <x:c r="BC20" s="22" t="str"/>
      <x:c r="BD20" s="22" t="str"/>
      <x:c r="BE20" s="22" t="str"/>
      <x:c r="BF20" s="22" t="str"/>
      <x:c r="BG20" s="22" t="str"/>
      <x:c r="BH20" s="22" t="str"/>
      <x:c r="BI20" s="22" t="str"/>
      <x:c r="BJ20" s="22" t="str"/>
      <x:c r="BK20" s="22" t="str"/>
      <x:c r="BL20" s="22" t="str"/>
      <x:c r="BM20" s="22" t="str"/>
    </x:row>
    <x:row r="21" ht="28" customHeight="1">
      <x:c r="A21" s="10" t="str">
        <x:v>修订基础费用 · 可填</x:v>
      </x:c>
      <x:c r="B21" s="23" t="str"/>
      <x:c r="C21" s="23" t="str"/>
      <x:c r="D21" s="23" t="str"/>
      <x:c r="E21" s="23" t="str"/>
      <x:c r="F21" s="23" t="str"/>
      <x:c r="G21" s="23" t="str"/>
      <x:c r="H21" s="23" t="str"/>
      <x:c r="I21" s="23" t="str"/>
      <x:c r="J21" s="23" t="str"/>
      <x:c r="K21" s="23" t="str"/>
      <x:c r="L21" s="23" t="str"/>
      <x:c r="M21" s="23" t="str"/>
      <x:c r="N21" s="23" t="str"/>
      <x:c r="O21" s="23" t="str"/>
      <x:c r="P21" s="23" t="str"/>
      <x:c r="Q21" s="23" t="str"/>
      <x:c r="R21" s="23" t="str"/>
      <x:c r="S21" s="23" t="str"/>
      <x:c r="T21" s="23" t="str"/>
      <x:c r="U21" s="23" t="str"/>
      <x:c r="V21" s="23" t="str"/>
      <x:c r="W21" s="23" t="str"/>
      <x:c r="X21" s="23" t="str"/>
      <x:c r="Y21" s="23" t="str"/>
      <x:c r="Z21" s="23" t="str"/>
      <x:c r="AA21" s="23" t="str"/>
      <x:c r="AB21" s="23" t="str"/>
      <x:c r="AC21" s="23" t="str"/>
      <x:c r="AD21" s="23" t="str"/>
      <x:c r="AE21" s="23" t="str"/>
      <x:c r="AF21" s="23" t="str"/>
      <x:c r="AG21" s="23" t="str"/>
      <x:c r="AH21" s="23" t="str"/>
      <x:c r="AI21" s="23" t="str"/>
      <x:c r="AJ21" s="23" t="str"/>
      <x:c r="AK21" s="23" t="str"/>
      <x:c r="AL21" s="23" t="str"/>
      <x:c r="AM21" s="23" t="str"/>
      <x:c r="AN21" s="23" t="str"/>
      <x:c r="AO21" s="23" t="str"/>
      <x:c r="AP21" s="23" t="str"/>
      <x:c r="AQ21" s="23" t="str"/>
      <x:c r="AR21" s="23" t="str"/>
      <x:c r="AS21" s="23" t="str"/>
      <x:c r="AT21" s="23" t="str"/>
      <x:c r="AU21" s="23" t="str"/>
      <x:c r="AV21" s="23" t="str"/>
      <x:c r="AW21" s="23" t="str"/>
      <x:c r="AX21" s="23" t="str"/>
      <x:c r="AY21" s="23" t="str"/>
      <x:c r="AZ21" s="23" t="str"/>
      <x:c r="BA21" s="23" t="str"/>
      <x:c r="BB21" s="23" t="str"/>
      <x:c r="BC21" s="23" t="str"/>
      <x:c r="BD21" s="23" t="str"/>
      <x:c r="BE21" s="23" t="str"/>
      <x:c r="BF21" s="23" t="str"/>
      <x:c r="BG21" s="23" t="str"/>
      <x:c r="BH21" s="23" t="str"/>
      <x:c r="BI21" s="23" t="str"/>
      <x:c r="BJ21" s="23" t="str"/>
      <x:c r="BK21" s="23" t="str"/>
      <x:c r="BL21" s="23" t="str"/>
      <x:c r="BM21" s="23" t="str"/>
    </x:row>
    <x:row r="22" ht="28" customHeight="1">
      <x:c r="A22" s="10" t="str">
        <x:v>修订升级费用 · 可填</x:v>
      </x:c>
      <x:c r="B22" s="23" t="str"/>
      <x:c r="C22" s="23" t="str"/>
      <x:c r="D22" s="23" t="str"/>
      <x:c r="E22" s="23" t="str"/>
      <x:c r="F22" s="23" t="str"/>
      <x:c r="G22" s="23" t="str"/>
      <x:c r="H22" s="23" t="str"/>
      <x:c r="I22" s="23" t="str"/>
      <x:c r="J22" s="23" t="str"/>
      <x:c r="K22" s="23" t="str"/>
      <x:c r="L22" s="23" t="str"/>
      <x:c r="M22" s="23" t="str"/>
      <x:c r="N22" s="23" t="str"/>
      <x:c r="O22" s="23" t="str"/>
      <x:c r="P22" s="23" t="str"/>
      <x:c r="Q22" s="23" t="str"/>
      <x:c r="R22" s="23" t="str"/>
      <x:c r="S22" s="23" t="str"/>
      <x:c r="T22" s="23" t="str"/>
      <x:c r="U22" s="23" t="str"/>
      <x:c r="V22" s="23" t="str"/>
      <x:c r="W22" s="23" t="str"/>
      <x:c r="X22" s="23" t="str"/>
      <x:c r="Y22" s="23" t="str"/>
      <x:c r="Z22" s="23" t="str"/>
      <x:c r="AA22" s="23" t="str"/>
      <x:c r="AB22" s="23" t="str"/>
      <x:c r="AC22" s="23" t="str"/>
      <x:c r="AD22" s="23" t="str"/>
      <x:c r="AE22" s="23" t="str"/>
      <x:c r="AF22" s="23" t="str"/>
      <x:c r="AG22" s="23" t="str"/>
      <x:c r="AH22" s="23" t="str"/>
      <x:c r="AI22" s="23" t="str"/>
      <x:c r="AJ22" s="23" t="str"/>
      <x:c r="AK22" s="23" t="str"/>
      <x:c r="AL22" s="23" t="str"/>
      <x:c r="AM22" s="23" t="str"/>
      <x:c r="AN22" s="23" t="str"/>
      <x:c r="AO22" s="23" t="str"/>
      <x:c r="AP22" s="23" t="str"/>
      <x:c r="AQ22" s="23" t="str"/>
      <x:c r="AR22" s="23" t="str"/>
      <x:c r="AS22" s="23" t="str"/>
      <x:c r="AT22" s="23" t="str"/>
      <x:c r="AU22" s="23" t="str"/>
      <x:c r="AV22" s="23" t="str"/>
      <x:c r="AW22" s="23" t="str"/>
      <x:c r="AX22" s="23" t="str"/>
      <x:c r="AY22" s="23" t="str"/>
      <x:c r="AZ22" s="23" t="str"/>
      <x:c r="BA22" s="23" t="str"/>
      <x:c r="BB22" s="23" t="str"/>
      <x:c r="BC22" s="23" t="str"/>
      <x:c r="BD22" s="23" t="str"/>
      <x:c r="BE22" s="23" t="str"/>
      <x:c r="BF22" s="23" t="str"/>
      <x:c r="BG22" s="23" t="str"/>
      <x:c r="BH22" s="23" t="str"/>
      <x:c r="BI22" s="23" t="str"/>
      <x:c r="BJ22" s="23" t="str"/>
      <x:c r="BK22" s="23" t="str"/>
      <x:c r="BL22" s="23" t="str"/>
      <x:c r="BM22" s="23" t="str"/>
    </x:row>
    <x:row r="23" ht="90" customHeight="1">
      <x:c r="A23" s="10" t="str">
        <x:v>修订效果 · 可填</x:v>
      </x:c>
      <x:c r="B23" s="22" t="str"/>
      <x:c r="C23" s="22" t="str"/>
      <x:c r="D23" s="22" t="str"/>
      <x:c r="E23" s="22" t="str"/>
      <x:c r="F23" s="22" t="str"/>
      <x:c r="G23" s="22" t="str"/>
      <x:c r="H23" s="22" t="str"/>
      <x:c r="I23" s="22" t="str"/>
      <x:c r="J23" s="22" t="str"/>
      <x:c r="K23" s="22" t="str"/>
      <x:c r="L23" s="22" t="str"/>
      <x:c r="M23" s="22" t="str"/>
      <x:c r="N23" s="22" t="str"/>
      <x:c r="O23" s="22" t="str"/>
      <x:c r="P23" s="22" t="str"/>
      <x:c r="Q23" s="22" t="str"/>
      <x:c r="R23" s="22" t="str"/>
      <x:c r="S23" s="22" t="str"/>
      <x:c r="T23" s="22" t="str"/>
      <x:c r="U23" s="22" t="str"/>
      <x:c r="V23" s="22" t="str"/>
      <x:c r="W23" s="22" t="str"/>
      <x:c r="X23" s="22" t="str"/>
      <x:c r="Y23" s="22" t="str"/>
      <x:c r="Z23" s="22" t="str"/>
      <x:c r="AA23" s="22" t="str"/>
      <x:c r="AB23" s="22" t="str"/>
      <x:c r="AC23" s="22" t="str"/>
      <x:c r="AD23" s="22" t="str"/>
      <x:c r="AE23" s="22" t="str"/>
      <x:c r="AF23" s="22" t="str"/>
      <x:c r="AG23" s="22" t="str"/>
      <x:c r="AH23" s="22" t="str"/>
      <x:c r="AI23" s="22" t="str"/>
      <x:c r="AJ23" s="22" t="str"/>
      <x:c r="AK23" s="22" t="str"/>
      <x:c r="AL23" s="22" t="str"/>
      <x:c r="AM23" s="22" t="str"/>
      <x:c r="AN23" s="22" t="str"/>
      <x:c r="AO23" s="22" t="str"/>
      <x:c r="AP23" s="22" t="str"/>
      <x:c r="AQ23" s="22" t="str"/>
      <x:c r="AR23" s="22" t="str"/>
      <x:c r="AS23" s="22" t="str"/>
      <x:c r="AT23" s="22" t="str"/>
      <x:c r="AU23" s="22" t="str"/>
      <x:c r="AV23" s="22" t="str"/>
      <x:c r="AW23" s="22" t="str"/>
      <x:c r="AX23" s="22" t="str"/>
      <x:c r="AY23" s="22" t="str"/>
      <x:c r="AZ23" s="22" t="str"/>
      <x:c r="BA23" s="22" t="str"/>
      <x:c r="BB23" s="22" t="str"/>
      <x:c r="BC23" s="22" t="str"/>
      <x:c r="BD23" s="22" t="str"/>
      <x:c r="BE23" s="22" t="str"/>
      <x:c r="BF23" s="22" t="str"/>
      <x:c r="BG23" s="22" t="str"/>
      <x:c r="BH23" s="22" t="str"/>
      <x:c r="BI23" s="22" t="str"/>
      <x:c r="BJ23" s="22" t="str"/>
      <x:c r="BK23" s="22" t="str"/>
      <x:c r="BL23" s="22" t="str"/>
      <x:c r="BM23" s="22" t="str"/>
    </x:row>
  </x:sheetData>
  <x:dataValidations count="1">
    <x:dataValidation type="list" sqref="B19:BM19">
      <x:formula1>"待审阅,保留,修改,删除"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65518C"/>
  </x:sheetPr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20.559999465942383" hidden="0" customWidth="1"/>
    <x:col min="2" max="2" width="32.220001220703125" hidden="0" customWidth="1"/>
    <x:col min="3" max="3" width="32.220001220703125" hidden="0" customWidth="1"/>
    <x:col min="4" max="4" width="32.220001220703125" hidden="0" customWidth="1"/>
    <x:col min="5" max="5" width="32.220001220703125" hidden="0" customWidth="1"/>
    <x:col min="6" max="6" width="32.220001220703125" hidden="0" customWidth="1"/>
    <x:col min="7" max="7" width="32.220001220703125" hidden="0" customWidth="1"/>
  </x:cols>
  <x:sheetData>
    <x:row r="1" ht="32" customHeight="1">
      <x:c r="A1" s="5" t="str">
        <x:v>霜月 v0.2 · 逐组审阅</x:v>
      </x:c>
      <x:c r="B1" s="3"/>
      <x:c r="C1" s="3"/>
      <x:c r="D1" s="3"/>
      <x:c r="E1" s="3"/>
      <x:c r="F1" s="3"/>
      <x:c r="G1" s="3"/>
    </x:row>
    <x:row r="2" ht="25" customHeight="1">
      <x:c r="A2" s="7" t="str">
        <x:v>每组六张以内，纵向阅读全部64张。这里引用主卡池，修改意见请填写“64张卡牌”的黄色行。</x:v>
      </x:c>
      <x:c r="B2" s="3"/>
      <x:c r="C2" s="3"/>
      <x:c r="D2" s="3"/>
      <x:c r="E2" s="3"/>
      <x:c r="F2" s="3"/>
      <x:c r="G2" s="3"/>
    </x:row>
    <x:row r="3" ht="25" customHeight="1">
      <x:c r="A3" s="8"/>
      <x:c r="B3" s="8"/>
      <x:c r="C3" s="8"/>
      <x:c r="D3" s="8"/>
      <x:c r="E3" s="8"/>
      <x:c r="F3" s="8"/>
      <x:c r="G3" s="8"/>
    </x:row>
    <x:row r="4" ht="25" customHeight="1">
      <x:c r="A4" s="7" t="str">
        <x:v>按初始、普通、罕见、稀有顺序排列；此页无重复收录。所有效果遵循同一套三形态规则。</x:v>
      </x:c>
      <x:c r="B4" s="3"/>
      <x:c r="C4" s="3"/>
      <x:c r="D4" s="3"/>
      <x:c r="E4" s="3"/>
      <x:c r="F4" s="3"/>
      <x:c r="G4" s="3"/>
    </x:row>
    <x:row r="6" ht="28" customHeight="1">
      <x:c r="A6" s="26" t="str">
        <x:v>卡牌 1—6  ·  B01 至 C02</x:v>
      </x:c>
      <x:c r="B6" s="24"/>
      <x:c r="C6" s="24"/>
      <x:c r="D6" s="24"/>
      <x:c r="E6" s="24"/>
      <x:c r="F6" s="24"/>
      <x:c r="G6" s="24"/>
    </x:row>
    <x:row r="7" ht="32" customHeight="1">
      <x:c r="A7" s="15" t="str">
        <x:v>卡牌名</x:v>
      </x:c>
      <x:c r="B7" s="15" t="str">
        <x:f>'64张卡牌'!B5</x:f>
        <x:v>寒锋</x:v>
      </x:c>
      <x:c r="C7" s="15" t="str">
        <x:f>'64张卡牌'!C5</x:f>
        <x:v>凝霜</x:v>
      </x:c>
      <x:c r="D7" s="15" t="str">
        <x:f>'64张卡牌'!D5</x:f>
        <x:v>映月</x:v>
      </x:c>
      <x:c r="E7" s="15" t="str">
        <x:f>'64张卡牌'!E5</x:f>
        <x:v>归冬</x:v>
      </x:c>
      <x:c r="F7" s="15" t="str">
        <x:f>'64张卡牌'!F5</x:f>
        <x:v>寒月斩</x:v>
      </x:c>
      <x:c r="G7" s="15" t="str">
        <x:f>'64张卡牌'!G5</x:f>
        <x:v>冰棱</x:v>
      </x:c>
    </x:row>
    <x:row r="8" ht="28" customHeight="1">
      <x:c r="A8" s="10" t="str">
        <x:v>ID</x:v>
      </x:c>
      <x:c r="B8" s="11" t="str">
        <x:f>'64张卡牌'!B6</x:f>
        <x:v>B01</x:v>
      </x:c>
      <x:c r="C8" s="11" t="str">
        <x:f>'64张卡牌'!C6</x:f>
        <x:v>B02</x:v>
      </x:c>
      <x:c r="D8" s="11" t="str">
        <x:f>'64张卡牌'!D6</x:f>
        <x:v>B03</x:v>
      </x:c>
      <x:c r="E8" s="11" t="str">
        <x:f>'64张卡牌'!E6</x:f>
        <x:v>B04</x:v>
      </x:c>
      <x:c r="F8" s="11" t="str">
        <x:f>'64张卡牌'!F6</x:f>
        <x:v>C01</x:v>
      </x:c>
      <x:c r="G8" s="11" t="str">
        <x:f>'64张卡牌'!G6</x:f>
        <x:v>C02</x:v>
      </x:c>
    </x:row>
    <x:row r="9" ht="28" customHeight="1">
      <x:c r="A9" s="10" t="str">
        <x:v>稀有度</x:v>
      </x:c>
      <x:c r="B9" s="3" t="str">
        <x:f>'64张卡牌'!B7</x:f>
        <x:v>初始</x:v>
      </x:c>
      <x:c r="C9" s="3" t="str">
        <x:f>'64张卡牌'!C7</x:f>
        <x:v>初始</x:v>
      </x:c>
      <x:c r="D9" s="3" t="str">
        <x:f>'64张卡牌'!D7</x:f>
        <x:v>初始</x:v>
      </x:c>
      <x:c r="E9" s="3" t="str">
        <x:f>'64张卡牌'!E7</x:f>
        <x:v>初始</x:v>
      </x:c>
      <x:c r="F9" s="3" t="str">
        <x:f>'64张卡牌'!F7</x:f>
        <x:v>普通</x:v>
      </x:c>
      <x:c r="G9" s="3" t="str">
        <x:f>'64张卡牌'!G7</x:f>
        <x:v>普通</x:v>
      </x:c>
    </x:row>
    <x:row r="10" ht="28" customHeight="1">
      <x:c r="A10" s="10" t="str">
        <x:v>类型</x:v>
      </x:c>
      <x:c r="B10" s="11" t="str">
        <x:f>'64张卡牌'!B8</x:f>
        <x:v>攻击</x:v>
      </x:c>
      <x:c r="C10" s="11" t="str">
        <x:f>'64张卡牌'!C8</x:f>
        <x:v>技能</x:v>
      </x:c>
      <x:c r="D10" s="11" t="str">
        <x:f>'64张卡牌'!D8</x:f>
        <x:v>攻击</x:v>
      </x:c>
      <x:c r="E10" s="11" t="str">
        <x:f>'64张卡牌'!E8</x:f>
        <x:v>技能</x:v>
      </x:c>
      <x:c r="F10" s="11" t="str">
        <x:f>'64张卡牌'!F8</x:f>
        <x:v>攻击</x:v>
      </x:c>
      <x:c r="G10" s="11" t="str">
        <x:f>'64张卡牌'!G8</x:f>
        <x:v>攻击</x:v>
      </x:c>
    </x:row>
    <x:row r="11" ht="28" customHeight="1">
      <x:c r="A11" s="10" t="str">
        <x:v>费用 · 基础</x:v>
      </x:c>
      <x:c r="B11" s="27" t="n">
        <x:f>'64张卡牌'!B9</x:f>
        <x:v>1</x:v>
      </x:c>
      <x:c r="C11" s="27" t="n">
        <x:f>'64张卡牌'!C9</x:f>
        <x:v>1</x:v>
      </x:c>
      <x:c r="D11" s="27" t="n">
        <x:f>'64张卡牌'!D9</x:f>
        <x:v>1</x:v>
      </x:c>
      <x:c r="E11" s="27" t="n">
        <x:f>'64张卡牌'!E9</x:f>
        <x:v>1</x:v>
      </x:c>
      <x:c r="F11" s="27" t="n">
        <x:f>'64张卡牌'!F9</x:f>
        <x:v>1</x:v>
      </x:c>
      <x:c r="G11" s="27" t="n">
        <x:f>'64张卡牌'!G9</x:f>
        <x:v>1</x:v>
      </x:c>
    </x:row>
    <x:row r="12" ht="28" customHeight="1">
      <x:c r="A12" s="10" t="str">
        <x:v>费用 · 升级</x:v>
      </x:c>
      <x:c r="B12" s="28" t="n">
        <x:f>'64张卡牌'!B10</x:f>
        <x:v>1</x:v>
      </x:c>
      <x:c r="C12" s="28" t="n">
        <x:f>'64张卡牌'!C10</x:f>
        <x:v>1</x:v>
      </x:c>
      <x:c r="D12" s="28" t="n">
        <x:f>'64张卡牌'!D10</x:f>
        <x:v>1</x:v>
      </x:c>
      <x:c r="E12" s="28" t="n">
        <x:f>'64张卡牌'!E10</x:f>
        <x:v>1</x:v>
      </x:c>
      <x:c r="F12" s="28" t="n">
        <x:f>'64张卡牌'!F10</x:f>
        <x:v>1</x:v>
      </x:c>
      <x:c r="G12" s="28" t="n">
        <x:f>'64张卡牌'!G10</x:f>
        <x:v>1</x:v>
      </x:c>
    </x:row>
    <x:row r="13" ht="44" customHeight="1">
      <x:c r="A13" s="10" t="str">
        <x:v>基础效果</x:v>
      </x:c>
      <x:c r="B13" s="3" t="str">
        <x:f>'64张卡牌'!B11</x:f>
        <x:v>造成6点伤害。</x:v>
      </x:c>
      <x:c r="C13" s="3" t="str">
        <x:f>'64张卡牌'!C11</x:f>
        <x:v>获得5点格挡。</x:v>
      </x:c>
      <x:c r="D13" s="3" t="str">
        <x:f>'64张卡牌'!D11</x:f>
        <x:v>造成5点伤害。施加2月痕。进入月。</x:v>
      </x:c>
      <x:c r="E13" s="3" t="str">
        <x:f>'64张卡牌'!E11</x:f>
        <x:v>获得7点格挡。回生2。进入冰。</x:v>
      </x:c>
      <x:c r="F13" s="3" t="str">
        <x:f>'64张卡牌'!F11</x:f>
        <x:v>支付2生命。获得2霜。造成9点伤害。</x:v>
      </x:c>
      <x:c r="G13" s="3" t="str">
        <x:f>'64张卡牌'!G11</x:f>
        <x:v>造成5点伤害2次。若至少有1霜，消耗1霜并获得3点格挡。</x:v>
      </x:c>
    </x:row>
    <x:row r="14" ht="44" customHeight="1">
      <x:c r="A14" s="10" t="str">
        <x:v>升级后完整效果</x:v>
      </x:c>
      <x:c r="B14" s="11" t="str">
        <x:f>'64张卡牌'!B12</x:f>
        <x:v>造成9点伤害。</x:v>
      </x:c>
      <x:c r="C14" s="11" t="str">
        <x:f>'64张卡牌'!C12</x:f>
        <x:v>获得8点格挡。</x:v>
      </x:c>
      <x:c r="D14" s="11" t="str">
        <x:f>'64张卡牌'!D12</x:f>
        <x:v>造成8点伤害。施加2月痕。进入月。</x:v>
      </x:c>
      <x:c r="E14" s="11" t="str">
        <x:f>'64张卡牌'!E12</x:f>
        <x:v>获得10点格挡。回生3。进入冰。</x:v>
      </x:c>
      <x:c r="F14" s="11" t="str">
        <x:f>'64张卡牌'!F12</x:f>
        <x:v>支付2生命。获得2霜。造成12点伤害。</x:v>
      </x:c>
      <x:c r="G14" s="11" t="str">
        <x:f>'64张卡牌'!G12</x:f>
        <x:v>造成7点伤害2次。若至少有1霜，消耗1霜并获得5点格挡。</x:v>
      </x:c>
    </x:row>
    <x:row r="15" ht="28" customHeight="1">
      <x:c r="A15" s="20" t="str">
        <x:v>升级改动</x:v>
      </x:c>
      <x:c r="B15" s="21" t="str">
        <x:f>'64张卡牌'!B13</x:f>
        <x:v>伤害6→9</x:v>
      </x:c>
      <x:c r="C15" s="21" t="str">
        <x:f>'64张卡牌'!C13</x:f>
        <x:v>格挡5→8</x:v>
      </x:c>
      <x:c r="D15" s="21" t="str">
        <x:f>'64张卡牌'!D13</x:f>
        <x:v>伤害5→8</x:v>
      </x:c>
      <x:c r="E15" s="21" t="str">
        <x:f>'64张卡牌'!E13</x:f>
        <x:v>格挡7→10；回生2→3</x:v>
      </x:c>
      <x:c r="F15" s="21" t="str">
        <x:f>'64张卡牌'!F13</x:f>
        <x:v>伤害9→12</x:v>
      </x:c>
      <x:c r="G15" s="21" t="str">
        <x:f>'64张卡牌'!G13</x:f>
        <x:v>每击5→7；格挡3→5</x:v>
      </x:c>
    </x:row>
    <x:row r="16" ht="28" customHeight="1">
      <x:c r="A16" s="10" t="str">
        <x:v>机制</x:v>
      </x:c>
      <x:c r="B16" s="11" t="str">
        <x:f>'64张卡牌'!B14</x:f>
        <x:v>基础数值</x:v>
      </x:c>
      <x:c r="C16" s="11" t="str">
        <x:f>'64张卡牌'!C14</x:f>
        <x:v>基础数值</x:v>
      </x:c>
      <x:c r="D16" s="11" t="str">
        <x:f>'64张卡牌'!D14</x:f>
        <x:v>月痕、进入</x:v>
      </x:c>
      <x:c r="E16" s="11" t="str">
        <x:f>'64张卡牌'!E14</x:f>
        <x:v>回生、进入</x:v>
      </x:c>
      <x:c r="F16" s="11" t="str">
        <x:f>'64张卡牌'!F14</x:f>
        <x:v>支付、霜</x:v>
      </x:c>
      <x:c r="G16" s="11" t="str">
        <x:f>'64张卡牌'!G14</x:f>
        <x:v>霜、消耗</x:v>
      </x:c>
    </x:row>
    <x:row r="17" ht="28" customHeight="1">
      <x:c r="A17" s="10" t="str">
        <x:v>设计职责</x:v>
      </x:c>
      <x:c r="B17" s="3" t="str">
        <x:f>'64张卡牌'!B15</x:f>
        <x:v>基础攻击</x:v>
      </x:c>
      <x:c r="C17" s="3" t="str">
        <x:f>'64张卡牌'!C15</x:f>
        <x:v>基础防御</x:v>
      </x:c>
      <x:c r="D17" s="3" t="str">
        <x:f>'64张卡牌'!D15</x:f>
        <x:v>月入口／叠层</x:v>
      </x:c>
      <x:c r="E17" s="3" t="str">
        <x:f>'64张卡牌'!E15</x:f>
        <x:v>冰入口／恢复</x:v>
      </x:c>
      <x:c r="F17" s="3" t="str">
        <x:f>'64张卡牌'!F15</x:f>
        <x:v>自损／产霜／输出</x:v>
      </x:c>
      <x:c r="G17" s="3" t="str">
        <x:f>'64张卡牌'!G15</x:f>
        <x:v>多段输出／资源防御</x:v>
      </x:c>
    </x:row>
    <x:row r="18" ht="28" customHeight="1">
      <x:c r="A18" s="10" t="str">
        <x:v>适配方向</x:v>
      </x:c>
      <x:c r="B18" s="11" t="str">
        <x:f>'64张卡牌'!B16</x:f>
        <x:v>泛用、血月</x:v>
      </x:c>
      <x:c r="C18" s="11" t="str">
        <x:f>'64张卡牌'!C16</x:f>
        <x:v>泛用、控霜</x:v>
      </x:c>
      <x:c r="D18" s="11" t="str">
        <x:f>'64张卡牌'!D16</x:f>
        <x:v>切换、月蚀</x:v>
      </x:c>
      <x:c r="E18" s="11" t="str">
        <x:f>'64张卡牌'!E16</x:f>
        <x:v>切换、血月、控霜</x:v>
      </x:c>
      <x:c r="F18" s="11" t="str">
        <x:f>'64张卡牌'!F16</x:f>
        <x:v>冰爆、月蚀、血月</x:v>
      </x:c>
      <x:c r="G18" s="11" t="str">
        <x:f>'64张卡牌'!G16</x:f>
        <x:v>冰爆、血月</x:v>
      </x:c>
    </x:row>
    <x:row r="19" ht="60" customHeight="1">
      <x:c r="A19" s="10" t="str">
        <x:v>时序／审阅重点</x:v>
      </x:c>
      <x:c r="B19" s="3" t="str">
        <x:f>'64张卡牌'!B17</x:f>
        <x:v>单体；月被动可以附加月痕；血月翻倍攻击伤害。</x:v>
      </x:c>
      <x:c r="C19" s="3" t="str">
        <x:f>'64张卡牌'!C17</x:f>
        <x:v>在冰形态作为技能使用，可触发本回合前两次的产霜。</x:v>
      </x:c>
      <x:c r="D19" s="3" t="str">
        <x:f>'64张卡牌'!D17</x:f>
        <x:v>从冰打出时不追溯获得月被动；在血月打出会在结算末提前退场。</x:v>
      </x:c>
      <x:c r="E19" s="3" t="str">
        <x:f>'64张卡牌'!E17</x:f>
        <x:v>从月返回冰；回生不能治疗敌伤；若原本在冰则不算切换。</x:v>
      </x:c>
      <x:c r="F19" s="3" t="str">
        <x:f>'64张卡牌'!F17</x:f>
        <x:v>月被动的额外1生命和1霜在牌面效果之前处理；本牌付血触发的血月从下一张牌生效。</x:v>
      </x:c>
      <x:c r="G19" s="3" t="str">
        <x:f>'64张卡牌'!G17</x:f>
        <x:v>牌面消耗霜只在伤害后判定；月被动可能先用掉1霜。</x:v>
      </x:c>
    </x:row>
    <x:row r="20" ht="28" customHeight="1">
      <x:c r="A20" s="10" t="str">
        <x:v>实现批次</x:v>
      </x:c>
      <x:c r="B20" s="11" t="str">
        <x:f>'64张卡牌'!B18</x:f>
        <x:v>优先实现</x:v>
      </x:c>
      <x:c r="C20" s="11" t="str">
        <x:f>'64张卡牌'!C18</x:f>
        <x:v>优先实现</x:v>
      </x:c>
      <x:c r="D20" s="11" t="str">
        <x:f>'64张卡牌'!D18</x:f>
        <x:v>优先实现</x:v>
      </x:c>
      <x:c r="E20" s="11" t="str">
        <x:f>'64张卡牌'!E18</x:f>
        <x:v>优先实现</x:v>
      </x:c>
      <x:c r="F20" s="11" t="str">
        <x:f>'64张卡牌'!F18</x:f>
        <x:v>优先实现</x:v>
      </x:c>
      <x:c r="G20" s="11" t="str">
        <x:f>'64张卡牌'!G18</x:f>
        <x:v>完整卡池候选</x:v>
      </x:c>
    </x:row>
    <x:row r="23" ht="28" customHeight="1">
      <x:c r="A23" s="26" t="str">
        <x:v>卡牌 7—12  ·  C03 至 C08</x:v>
      </x:c>
      <x:c r="B23" s="24"/>
      <x:c r="C23" s="24"/>
      <x:c r="D23" s="24"/>
      <x:c r="E23" s="24"/>
      <x:c r="F23" s="24"/>
      <x:c r="G23" s="24"/>
    </x:row>
    <x:row r="24" ht="32" customHeight="1">
      <x:c r="A24" s="15" t="str">
        <x:v>卡牌名</x:v>
      </x:c>
      <x:c r="B24" s="15" t="str">
        <x:f>'64张卡牌'!H5</x:f>
        <x:v>踏雪</x:v>
      </x:c>
      <x:c r="C24" s="15" t="str">
        <x:f>'64张卡牌'!I5</x:f>
        <x:v>薄暮</x:v>
      </x:c>
      <x:c r="D24" s="15" t="str">
        <x:f>'64张卡牌'!J5</x:f>
        <x:v>新月</x:v>
      </x:c>
      <x:c r="E24" s="15" t="str">
        <x:f>'64张卡牌'!K5</x:f>
        <x:v>弦月</x:v>
      </x:c>
      <x:c r="F24" s="15" t="str">
        <x:f>'64张卡牌'!L5</x:f>
        <x:v>冰镜</x:v>
      </x:c>
      <x:c r="G24" s="15" t="str">
        <x:f>'64张卡牌'!M5</x:f>
        <x:v>碎冰</x:v>
      </x:c>
    </x:row>
    <x:row r="25" ht="28" customHeight="1">
      <x:c r="A25" s="10" t="str">
        <x:v>ID</x:v>
      </x:c>
      <x:c r="B25" s="11" t="str">
        <x:f>'64张卡牌'!H6</x:f>
        <x:v>C03</x:v>
      </x:c>
      <x:c r="C25" s="11" t="str">
        <x:f>'64张卡牌'!I6</x:f>
        <x:v>C04</x:v>
      </x:c>
      <x:c r="D25" s="11" t="str">
        <x:f>'64张卡牌'!J6</x:f>
        <x:v>C05</x:v>
      </x:c>
      <x:c r="E25" s="11" t="str">
        <x:f>'64张卡牌'!K6</x:f>
        <x:v>C06</x:v>
      </x:c>
      <x:c r="F25" s="11" t="str">
        <x:f>'64张卡牌'!L6</x:f>
        <x:v>C07</x:v>
      </x:c>
      <x:c r="G25" s="11" t="str">
        <x:f>'64张卡牌'!M6</x:f>
        <x:v>C08</x:v>
      </x:c>
    </x:row>
    <x:row r="26" ht="28" customHeight="1">
      <x:c r="A26" s="10" t="str">
        <x:v>稀有度</x:v>
      </x:c>
      <x:c r="B26" s="3" t="str">
        <x:f>'64张卡牌'!H7</x:f>
        <x:v>普通</x:v>
      </x:c>
      <x:c r="C26" s="3" t="str">
        <x:f>'64张卡牌'!I7</x:f>
        <x:v>普通</x:v>
      </x:c>
      <x:c r="D26" s="3" t="str">
        <x:f>'64张卡牌'!J7</x:f>
        <x:v>普通</x:v>
      </x:c>
      <x:c r="E26" s="3" t="str">
        <x:f>'64张卡牌'!K7</x:f>
        <x:v>普通</x:v>
      </x:c>
      <x:c r="F26" s="3" t="str">
        <x:f>'64张卡牌'!L7</x:f>
        <x:v>普通</x:v>
      </x:c>
      <x:c r="G26" s="3" t="str">
        <x:f>'64张卡牌'!M7</x:f>
        <x:v>普通</x:v>
      </x:c>
    </x:row>
    <x:row r="27" ht="28" customHeight="1">
      <x:c r="A27" s="10" t="str">
        <x:v>类型</x:v>
      </x:c>
      <x:c r="B27" s="11" t="str">
        <x:f>'64张卡牌'!H8</x:f>
        <x:v>技能</x:v>
      </x:c>
      <x:c r="C27" s="11" t="str">
        <x:f>'64张卡牌'!I8</x:f>
        <x:v>技能</x:v>
      </x:c>
      <x:c r="D27" s="11" t="str">
        <x:f>'64张卡牌'!J8</x:f>
        <x:v>技能</x:v>
      </x:c>
      <x:c r="E27" s="11" t="str">
        <x:f>'64张卡牌'!K8</x:f>
        <x:v>攻击</x:v>
      </x:c>
      <x:c r="F27" s="11" t="str">
        <x:f>'64张卡牌'!L8</x:f>
        <x:v>技能</x:v>
      </x:c>
      <x:c r="G27" s="11" t="str">
        <x:f>'64张卡牌'!M8</x:f>
        <x:v>攻击</x:v>
      </x:c>
    </x:row>
    <x:row r="28" ht="28" customHeight="1">
      <x:c r="A28" s="10" t="str">
        <x:v>费用 · 基础</x:v>
      </x:c>
      <x:c r="B28" s="27" t="n">
        <x:f>'64张卡牌'!H9</x:f>
        <x:v>1</x:v>
      </x:c>
      <x:c r="C28" s="27" t="n">
        <x:f>'64张卡牌'!I9</x:f>
        <x:v>1</x:v>
      </x:c>
      <x:c r="D28" s="27" t="n">
        <x:f>'64张卡牌'!J9</x:f>
        <x:v>0</x:v>
      </x:c>
      <x:c r="E28" s="27" t="n">
        <x:f>'64张卡牌'!K9</x:f>
        <x:v>1</x:v>
      </x:c>
      <x:c r="F28" s="27" t="n">
        <x:f>'64张卡牌'!L9</x:f>
        <x:v>1</x:v>
      </x:c>
      <x:c r="G28" s="27" t="n">
        <x:f>'64张卡牌'!M9</x:f>
        <x:v>1</x:v>
      </x:c>
    </x:row>
    <x:row r="29" ht="28" customHeight="1">
      <x:c r="A29" s="10" t="str">
        <x:v>费用 · 升级</x:v>
      </x:c>
      <x:c r="B29" s="28" t="n">
        <x:f>'64张卡牌'!H10</x:f>
        <x:v>1</x:v>
      </x:c>
      <x:c r="C29" s="28" t="n">
        <x:f>'64张卡牌'!I10</x:f>
        <x:v>1</x:v>
      </x:c>
      <x:c r="D29" s="28" t="n">
        <x:f>'64张卡牌'!J10</x:f>
        <x:v>0</x:v>
      </x:c>
      <x:c r="E29" s="28" t="n">
        <x:f>'64张卡牌'!K10</x:f>
        <x:v>1</x:v>
      </x:c>
      <x:c r="F29" s="28" t="n">
        <x:f>'64张卡牌'!L10</x:f>
        <x:v>1</x:v>
      </x:c>
      <x:c r="G29" s="28" t="n">
        <x:f>'64张卡牌'!M10</x:f>
        <x:v>1</x:v>
      </x:c>
    </x:row>
    <x:row r="30" ht="44" customHeight="1">
      <x:c r="A30" s="10" t="str">
        <x:v>基础效果</x:v>
      </x:c>
      <x:c r="B30" s="3" t="str">
        <x:f>'64张卡牌'!H11</x:f>
        <x:v>获得6点格挡。获得1霜。进入冰。</x:v>
      </x:c>
      <x:c r="C30" s="3" t="str">
        <x:f>'64张卡牌'!I11</x:f>
        <x:v>获得5点格挡。施加2月痕。进入月。</x:v>
      </x:c>
      <x:c r="D30" s="3" t="str">
        <x:f>'64张卡牌'!J11</x:f>
        <x:v>施加2月痕。</x:v>
      </x:c>
      <x:c r="E30" s="3" t="str">
        <x:f>'64张卡牌'!K11</x:f>
        <x:v>造成7点伤害。施加2月痕。</x:v>
      </x:c>
      <x:c r="F30" s="3" t="str">
        <x:f>'64张卡牌'!L11</x:f>
        <x:v>获得5点格挡。施加2月痕。</x:v>
      </x:c>
      <x:c r="G30" s="3" t="str">
        <x:f>'64张卡牌'!M11</x:f>
        <x:v>消耗最多2霜。造成8点伤害，每消耗1霜额外造成3点伤害。</x:v>
      </x:c>
    </x:row>
    <x:row r="31" ht="44" customHeight="1">
      <x:c r="A31" s="10" t="str">
        <x:v>升级后完整效果</x:v>
      </x:c>
      <x:c r="B31" s="11" t="str">
        <x:f>'64张卡牌'!H12</x:f>
        <x:v>获得9点格挡。获得1霜。进入冰。</x:v>
      </x:c>
      <x:c r="C31" s="11" t="str">
        <x:f>'64张卡牌'!I12</x:f>
        <x:v>获得8点格挡。施加2月痕。进入月。</x:v>
      </x:c>
      <x:c r="D31" s="11" t="str">
        <x:f>'64张卡牌'!J12</x:f>
        <x:v>施加3月痕。</x:v>
      </x:c>
      <x:c r="E31" s="11" t="str">
        <x:f>'64张卡牌'!K12</x:f>
        <x:v>造成10点伤害。施加2月痕。</x:v>
      </x:c>
      <x:c r="F31" s="11" t="str">
        <x:f>'64张卡牌'!L12</x:f>
        <x:v>获得8点格挡。施加2月痕。</x:v>
      </x:c>
      <x:c r="G31" s="11" t="str">
        <x:f>'64张卡牌'!M12</x:f>
        <x:v>消耗最多2霜。造成11点伤害，每消耗1霜额外造成3点伤害。</x:v>
      </x:c>
    </x:row>
    <x:row r="32" ht="28" customHeight="1">
      <x:c r="A32" s="20" t="str">
        <x:v>升级改动</x:v>
      </x:c>
      <x:c r="B32" s="21" t="str">
        <x:f>'64张卡牌'!H13</x:f>
        <x:v>格挡6→9</x:v>
      </x:c>
      <x:c r="C32" s="21" t="str">
        <x:f>'64张卡牌'!I13</x:f>
        <x:v>格挡5→8</x:v>
      </x:c>
      <x:c r="D32" s="21" t="str">
        <x:f>'64张卡牌'!J13</x:f>
        <x:v>月痕2→3</x:v>
      </x:c>
      <x:c r="E32" s="21" t="str">
        <x:f>'64张卡牌'!K13</x:f>
        <x:v>伤害7→10</x:v>
      </x:c>
      <x:c r="F32" s="21" t="str">
        <x:f>'64张卡牌'!L13</x:f>
        <x:v>格挡5→8</x:v>
      </x:c>
      <x:c r="G32" s="21" t="str">
        <x:f>'64张卡牌'!M13</x:f>
        <x:v>基础伤害8→11</x:v>
      </x:c>
    </x:row>
    <x:row r="33" ht="28" customHeight="1">
      <x:c r="A33" s="10" t="str">
        <x:v>机制</x:v>
      </x:c>
      <x:c r="B33" s="11" t="str">
        <x:f>'64张卡牌'!H14</x:f>
        <x:v>霜、进入</x:v>
      </x:c>
      <x:c r="C33" s="11" t="str">
        <x:f>'64张卡牌'!I14</x:f>
        <x:v>月痕、进入</x:v>
      </x:c>
      <x:c r="D33" s="11" t="str">
        <x:f>'64张卡牌'!J14</x:f>
        <x:v>月痕</x:v>
      </x:c>
      <x:c r="E33" s="11" t="str">
        <x:f>'64张卡牌'!K14</x:f>
        <x:v>月痕</x:v>
      </x:c>
      <x:c r="F33" s="11" t="str">
        <x:f>'64张卡牌'!L14</x:f>
        <x:v>月痕</x:v>
      </x:c>
      <x:c r="G33" s="11" t="str">
        <x:f>'64张卡牌'!M14</x:f>
        <x:v>霜、消耗</x:v>
      </x:c>
    </x:row>
    <x:row r="34" ht="28" customHeight="1">
      <x:c r="A34" s="10" t="str">
        <x:v>设计职责</x:v>
      </x:c>
      <x:c r="B34" s="3" t="str">
        <x:f>'64张卡牌'!H15</x:f>
        <x:v>防御／产霜／入口</x:v>
      </x:c>
      <x:c r="C34" s="3" t="str">
        <x:f>'64张卡牌'!I15</x:f>
        <x:v>防御入口／叠层</x:v>
      </x:c>
      <x:c r="D34" s="3" t="str">
        <x:f>'64张卡牌'!J15</x:f>
        <x:v>低费叠层</x:v>
      </x:c>
      <x:c r="E34" s="3" t="str">
        <x:f>'64张卡牌'!K15</x:f>
        <x:v>基础攻击桥梁</x:v>
      </x:c>
      <x:c r="F34" s="3" t="str">
        <x:f>'64张卡牌'!L15</x:f>
        <x:v>防御桥梁</x:v>
      </x:c>
      <x:c r="G34" s="3" t="str">
        <x:f>'64张卡牌'!M15</x:f>
        <x:v>消耗霜／输出</x:v>
      </x:c>
    </x:row>
    <x:row r="35" ht="28" customHeight="1">
      <x:c r="A35" s="10" t="str">
        <x:v>适配方向</x:v>
      </x:c>
      <x:c r="B35" s="11" t="str">
        <x:f>'64张卡牌'!H16</x:f>
        <x:v>切换、控霜</x:v>
      </x:c>
      <x:c r="C35" s="11" t="str">
        <x:f>'64张卡牌'!I16</x:f>
        <x:v>切换、月蚀</x:v>
      </x:c>
      <x:c r="D35" s="11" t="str">
        <x:f>'64张卡牌'!J16</x:f>
        <x:v>月蚀、控霜</x:v>
      </x:c>
      <x:c r="E35" s="11" t="str">
        <x:f>'64张卡牌'!K16</x:f>
        <x:v>月蚀、血月</x:v>
      </x:c>
      <x:c r="F35" s="11" t="str">
        <x:f>'64张卡牌'!L16</x:f>
        <x:v>控霜、月蚀</x:v>
      </x:c>
      <x:c r="G35" s="11" t="str">
        <x:f>'64张卡牌'!M16</x:f>
        <x:v>冰爆、血月</x:v>
      </x:c>
    </x:row>
    <x:row r="36" ht="44" customHeight="1">
      <x:c r="A36" s="10" t="str">
        <x:v>时序／审阅重点</x:v>
      </x:c>
      <x:c r="B36" s="3" t="str">
        <x:f>'64张卡牌'!H17</x:f>
        <x:v>即使无可回收生命，仍有防御和产霜价值。</x:v>
      </x:c>
      <x:c r="C36" s="3" t="str">
        <x:f>'64张卡牌'!I17</x:f>
        <x:v>技能牌进入月不额外烧血；本牌在冰开始则仍领取冰的技能产霜。</x:v>
      </x:c>
      <x:c r="D36" s="3" t="str">
        <x:f>'64张卡牌'!J17</x:f>
        <x:v>无抽牌；强度需要计入抽到并占用一张手牌的成本。</x:v>
      </x:c>
      <x:c r="E36" s="3" t="str">
        <x:f>'64张卡牌'!K17</x:f>
        <x:v>月形态有霜时可合计施加4月痕，但要付1生命、消耗1霜。</x:v>
      </x:c>
      <x:c r="F36" s="3" t="str">
        <x:f>'64张卡牌'!L17</x:f>
        <x:v>冰形态可在防御时引爆月蚀并回生，不必每次留在月。</x:v>
      </x:c>
      <x:c r="G36" s="3" t="str">
        <x:f>'64张卡牌'!M17</x:f>
        <x:v>本牌主动消耗量自动取当前霜与2的较小值；月被动消耗不算本牌增伤。</x:v>
      </x:c>
    </x:row>
    <x:row r="37" ht="28" customHeight="1">
      <x:c r="A37" s="10" t="str">
        <x:v>实现批次</x:v>
      </x:c>
      <x:c r="B37" s="11" t="str">
        <x:f>'64张卡牌'!H18</x:f>
        <x:v>完整卡池候选</x:v>
      </x:c>
      <x:c r="C37" s="11" t="str">
        <x:f>'64张卡牌'!I18</x:f>
        <x:v>优先实现</x:v>
      </x:c>
      <x:c r="D37" s="11" t="str">
        <x:f>'64张卡牌'!J18</x:f>
        <x:v>完整卡池候选</x:v>
      </x:c>
      <x:c r="E37" s="11" t="str">
        <x:f>'64张卡牌'!K18</x:f>
        <x:v>优先实现</x:v>
      </x:c>
      <x:c r="F37" s="11" t="str">
        <x:f>'64张卡牌'!L18</x:f>
        <x:v>优先实现</x:v>
      </x:c>
      <x:c r="G37" s="11" t="str">
        <x:f>'64张卡牌'!M18</x:f>
        <x:v>完整卡池候选</x:v>
      </x:c>
    </x:row>
    <x:row r="40" ht="28" customHeight="1">
      <x:c r="A40" s="26" t="str">
        <x:v>卡牌 13—18  ·  C09 至 C14</x:v>
      </x:c>
      <x:c r="B40" s="24"/>
      <x:c r="C40" s="24"/>
      <x:c r="D40" s="24"/>
      <x:c r="E40" s="24"/>
      <x:c r="F40" s="24"/>
      <x:c r="G40" s="24"/>
    </x:row>
    <x:row r="41" ht="32" customHeight="1">
      <x:c r="A41" s="15" t="str">
        <x:v>卡牌名</x:v>
      </x:c>
      <x:c r="B41" s="15" t="str">
        <x:f>'64张卡牌'!N5</x:f>
        <x:v>雪藏</x:v>
      </x:c>
      <x:c r="C41" s="15" t="str">
        <x:f>'64张卡牌'!O5</x:f>
        <x:v>月落</x:v>
      </x:c>
      <x:c r="D41" s="15" t="str">
        <x:f>'64张卡牌'!P5</x:f>
        <x:v>退潮</x:v>
      </x:c>
      <x:c r="E41" s="15" t="str">
        <x:f>'64张卡牌'!Q5</x:f>
        <x:v>割霜</x:v>
      </x:c>
      <x:c r="F41" s="15" t="str">
        <x:f>'64张卡牌'!R5</x:f>
        <x:v>望舒</x:v>
      </x:c>
      <x:c r="G41" s="15" t="str">
        <x:f>'64张卡牌'!S5</x:f>
        <x:v>照影</x:v>
      </x:c>
    </x:row>
    <x:row r="42" ht="28" customHeight="1">
      <x:c r="A42" s="10" t="str">
        <x:v>ID</x:v>
      </x:c>
      <x:c r="B42" s="11" t="str">
        <x:f>'64张卡牌'!N6</x:f>
        <x:v>C09</x:v>
      </x:c>
      <x:c r="C42" s="11" t="str">
        <x:f>'64张卡牌'!O6</x:f>
        <x:v>C10</x:v>
      </x:c>
      <x:c r="D42" s="11" t="str">
        <x:f>'64张卡牌'!P6</x:f>
        <x:v>C11</x:v>
      </x:c>
      <x:c r="E42" s="11" t="str">
        <x:f>'64张卡牌'!Q6</x:f>
        <x:v>C12</x:v>
      </x:c>
      <x:c r="F42" s="11" t="str">
        <x:f>'64张卡牌'!R6</x:f>
        <x:v>C13</x:v>
      </x:c>
      <x:c r="G42" s="11" t="str">
        <x:f>'64张卡牌'!S6</x:f>
        <x:v>C14</x:v>
      </x:c>
    </x:row>
    <x:row r="43" ht="28" customHeight="1">
      <x:c r="A43" s="10" t="str">
        <x:v>稀有度</x:v>
      </x:c>
      <x:c r="B43" s="3" t="str">
        <x:f>'64张卡牌'!N7</x:f>
        <x:v>普通</x:v>
      </x:c>
      <x:c r="C43" s="3" t="str">
        <x:f>'64张卡牌'!O7</x:f>
        <x:v>普通</x:v>
      </x:c>
      <x:c r="D43" s="3" t="str">
        <x:f>'64张卡牌'!P7</x:f>
        <x:v>普通</x:v>
      </x:c>
      <x:c r="E43" s="3" t="str">
        <x:f>'64张卡牌'!Q7</x:f>
        <x:v>普通</x:v>
      </x:c>
      <x:c r="F43" s="3" t="str">
        <x:f>'64张卡牌'!R7</x:f>
        <x:v>普通</x:v>
      </x:c>
      <x:c r="G43" s="3" t="str">
        <x:f>'64张卡牌'!S7</x:f>
        <x:v>普通</x:v>
      </x:c>
    </x:row>
    <x:row r="44" ht="28" customHeight="1">
      <x:c r="A44" s="10" t="str">
        <x:v>类型</x:v>
      </x:c>
      <x:c r="B44" s="11" t="str">
        <x:f>'64张卡牌'!N8</x:f>
        <x:v>技能</x:v>
      </x:c>
      <x:c r="C44" s="11" t="str">
        <x:f>'64张卡牌'!O8</x:f>
        <x:v>技能</x:v>
      </x:c>
      <x:c r="D44" s="11" t="str">
        <x:f>'64张卡牌'!P8</x:f>
        <x:v>技能</x:v>
      </x:c>
      <x:c r="E44" s="11" t="str">
        <x:f>'64张卡牌'!Q8</x:f>
        <x:v>技能</x:v>
      </x:c>
      <x:c r="F44" s="11" t="str">
        <x:f>'64张卡牌'!R8</x:f>
        <x:v>技能</x:v>
      </x:c>
      <x:c r="G44" s="11" t="str">
        <x:f>'64张卡牌'!S8</x:f>
        <x:v>技能</x:v>
      </x:c>
    </x:row>
    <x:row r="45" ht="28" customHeight="1">
      <x:c r="A45" s="10" t="str">
        <x:v>费用 · 基础</x:v>
      </x:c>
      <x:c r="B45" s="27" t="n">
        <x:f>'64张卡牌'!N9</x:f>
        <x:v>1</x:v>
      </x:c>
      <x:c r="C45" s="27" t="n">
        <x:f>'64张卡牌'!O9</x:f>
        <x:v>1</x:v>
      </x:c>
      <x:c r="D45" s="27" t="n">
        <x:f>'64张卡牌'!P9</x:f>
        <x:v>1</x:v>
      </x:c>
      <x:c r="E45" s="27" t="n">
        <x:f>'64张卡牌'!Q9</x:f>
        <x:v>0</x:v>
      </x:c>
      <x:c r="F45" s="27" t="n">
        <x:f>'64张卡牌'!R9</x:f>
        <x:v>1</x:v>
      </x:c>
      <x:c r="G45" s="27" t="n">
        <x:f>'64张卡牌'!S9</x:f>
        <x:v>1</x:v>
      </x:c>
    </x:row>
    <x:row r="46" ht="28" customHeight="1">
      <x:c r="A46" s="10" t="str">
        <x:v>费用 · 升级</x:v>
      </x:c>
      <x:c r="B46" s="28" t="n">
        <x:f>'64张卡牌'!N10</x:f>
        <x:v>1</x:v>
      </x:c>
      <x:c r="C46" s="28" t="n">
        <x:f>'64张卡牌'!O10</x:f>
        <x:v>1</x:v>
      </x:c>
      <x:c r="D46" s="28" t="n">
        <x:f>'64张卡牌'!P10</x:f>
        <x:v>1</x:v>
      </x:c>
      <x:c r="E46" s="28" t="n">
        <x:f>'64张卡牌'!Q10</x:f>
        <x:v>0</x:v>
      </x:c>
      <x:c r="F46" s="28" t="n">
        <x:f>'64张卡牌'!R10</x:f>
        <x:v>1</x:v>
      </x:c>
      <x:c r="G46" s="28" t="n">
        <x:f>'64张卡牌'!S10</x:f>
        <x:v>1</x:v>
      </x:c>
    </x:row>
    <x:row r="47" ht="44" customHeight="1">
      <x:c r="A47" s="10" t="str">
        <x:v>基础效果</x:v>
      </x:c>
      <x:c r="B47" s="3" t="str">
        <x:f>'64张卡牌'!N11</x:f>
        <x:v>保留。获得8点格挡。</x:v>
      </x:c>
      <x:c r="C47" s="3" t="str">
        <x:f>'64张卡牌'!O11</x:f>
        <x:v>若目标至少有6月痕，移除6层并触发1次月蚀；否则施加3月痕。</x:v>
      </x:c>
      <x:c r="D47" s="3" t="str">
        <x:f>'64张卡牌'!P11</x:f>
        <x:v>回生3。抽1张牌。进入冰。</x:v>
      </x:c>
      <x:c r="E47" s="3" t="str">
        <x:f>'64张卡牌'!Q11</x:f>
        <x:v>支付3生命。获得2霜。消耗。</x:v>
      </x:c>
      <x:c r="F47" s="3" t="str">
        <x:f>'64张卡牌'!R11</x:f>
        <x:v>抽2张牌。若本牌开始结算时处于月，回生1。</x:v>
      </x:c>
      <x:c r="G47" s="3" t="str">
        <x:f>'64张卡牌'!S11</x:f>
        <x:v>获得3点格挡。抽2张牌，然后弃1张牌。</x:v>
      </x:c>
    </x:row>
    <x:row r="48" ht="44" customHeight="1">
      <x:c r="A48" s="10" t="str">
        <x:v>升级后完整效果</x:v>
      </x:c>
      <x:c r="B48" s="11" t="str">
        <x:f>'64张卡牌'!N12</x:f>
        <x:v>保留。获得11点格挡。</x:v>
      </x:c>
      <x:c r="C48" s="11" t="str">
        <x:f>'64张卡牌'!O12</x:f>
        <x:v>若目标至少有6月痕，移除6层并触发1次月蚀；否则施加4月痕。</x:v>
      </x:c>
      <x:c r="D48" s="11" t="str">
        <x:f>'64张卡牌'!P12</x:f>
        <x:v>回生4。抽1张牌。进入冰。</x:v>
      </x:c>
      <x:c r="E48" s="11" t="str">
        <x:f>'64张卡牌'!Q12</x:f>
        <x:v>支付3生命。获得3霜。消耗。</x:v>
      </x:c>
      <x:c r="F48" s="11" t="str">
        <x:f>'64张卡牌'!R12</x:f>
        <x:v>抽3张牌。若本牌开始结算时处于月，回生1。</x:v>
      </x:c>
      <x:c r="G48" s="11" t="str">
        <x:f>'64张卡牌'!S12</x:f>
        <x:v>获得5点格挡。抽2张牌，然后弃1张牌。</x:v>
      </x:c>
    </x:row>
    <x:row r="49" ht="28" customHeight="1">
      <x:c r="A49" s="20" t="str">
        <x:v>升级改动</x:v>
      </x:c>
      <x:c r="B49" s="21" t="str">
        <x:f>'64张卡牌'!N13</x:f>
        <x:v>格挡8→11</x:v>
      </x:c>
      <x:c r="C49" s="21" t="str">
        <x:f>'64张卡牌'!O13</x:f>
        <x:v>不足6层时施加3→4</x:v>
      </x:c>
      <x:c r="D49" s="21" t="str">
        <x:f>'64张卡牌'!P13</x:f>
        <x:v>回生3→4</x:v>
      </x:c>
      <x:c r="E49" s="21" t="str">
        <x:f>'64张卡牌'!Q13</x:f>
        <x:v>霜2→3</x:v>
      </x:c>
      <x:c r="F49" s="21" t="str">
        <x:f>'64张卡牌'!R13</x:f>
        <x:v>抽牌2→3</x:v>
      </x:c>
      <x:c r="G49" s="21" t="str">
        <x:f>'64张卡牌'!S13</x:f>
        <x:v>格挡3→5</x:v>
      </x:c>
    </x:row>
    <x:row r="50" ht="28" customHeight="1">
      <x:c r="A50" s="10" t="str">
        <x:v>机制</x:v>
      </x:c>
      <x:c r="B50" s="11" t="str">
        <x:f>'64张卡牌'!N14</x:f>
        <x:v>保留</x:v>
      </x:c>
      <x:c r="C50" s="11" t="str">
        <x:f>'64张卡牌'!O14</x:f>
        <x:v>月痕、月蚀</x:v>
      </x:c>
      <x:c r="D50" s="11" t="str">
        <x:f>'64张卡牌'!P14</x:f>
        <x:v>回生、抽、进入</x:v>
      </x:c>
      <x:c r="E50" s="11" t="str">
        <x:f>'64张卡牌'!Q14</x:f>
        <x:v>支付、霜、消耗</x:v>
      </x:c>
      <x:c r="F50" s="11" t="str">
        <x:f>'64张卡牌'!R14</x:f>
        <x:v>回生、抽</x:v>
      </x:c>
      <x:c r="G50" s="11" t="str">
        <x:f>'64张卡牌'!S14</x:f>
        <x:v>抽</x:v>
      </x:c>
    </x:row>
    <x:row r="51" ht="28" customHeight="1">
      <x:c r="A51" s="10" t="str">
        <x:v>设计职责</x:v>
      </x:c>
      <x:c r="B51" s="3" t="str">
        <x:f>'64张卡牌'!N15</x:f>
        <x:v>可保留防御</x:v>
      </x:c>
      <x:c r="C51" s="3" t="str">
        <x:f>'64张卡牌'!O15</x:f>
        <x:v>提前引爆／补层</x:v>
      </x:c>
      <x:c r="D51" s="3" t="str">
        <x:f>'64张卡牌'!P15</x:f>
        <x:v>恢复／过牌／入口</x:v>
      </x:c>
      <x:c r="E51" s="3" t="str">
        <x:f>'64张卡牌'!Q15</x:f>
        <x:v>加速产霜／调血</x:v>
      </x:c>
      <x:c r="F51" s="3" t="str">
        <x:f>'64张卡牌'!R15</x:f>
        <x:v>抽牌／小额回生</x:v>
      </x:c>
      <x:c r="G51" s="3" t="str">
        <x:f>'64张卡牌'!S15</x:f>
        <x:v>筛手／防御</x:v>
      </x:c>
    </x:row>
    <x:row r="52" ht="28" customHeight="1">
      <x:c r="A52" s="10" t="str">
        <x:v>适配方向</x:v>
      </x:c>
      <x:c r="B52" s="11" t="str">
        <x:f>'64张卡牌'!N16</x:f>
        <x:v>泛用、控霜、血月</x:v>
      </x:c>
      <x:c r="C52" s="11" t="str">
        <x:f>'64张卡牌'!O16</x:f>
        <x:v>月蚀、切换</x:v>
      </x:c>
      <x:c r="D52" s="11" t="str">
        <x:f>'64张卡牌'!P16</x:f>
        <x:v>切换、血月、月蚀</x:v>
      </x:c>
      <x:c r="E52" s="11" t="str">
        <x:f>'64张卡牌'!Q16</x:f>
        <x:v>冰爆、控霜、血月</x:v>
      </x:c>
      <x:c r="F52" s="11" t="str">
        <x:f>'64张卡牌'!R16</x:f>
        <x:v>泛用、月蚀、血月</x:v>
      </x:c>
      <x:c r="G52" s="11" t="str">
        <x:f>'64张卡牌'!S16</x:f>
        <x:v>泛用、切换</x:v>
      </x:c>
    </x:row>
    <x:row r="53" ht="44" customHeight="1">
      <x:c r="A53" s="10" t="str">
        <x:v>时序／审阅重点</x:v>
      </x:c>
      <x:c r="B53" s="3" t="str">
        <x:f>'64张卡牌'!N17</x:f>
        <x:v>为低血爆发回合留防御；没有额外状态要求。</x:v>
      </x:c>
      <x:c r="C53" s="3" t="str">
        <x:f>'64张卡牌'!O17</x:f>
        <x:v>提前引爆保留未移除的层数；它不是移除全部月痕。</x:v>
      </x:c>
      <x:c r="D53" s="3" t="str">
        <x:f>'64张卡牌'!P17</x:f>
        <x:v>需要防御时不能把回生当作格挡；血月中使用会提前结束爆发。</x:v>
      </x:c>
      <x:c r="E53" s="3" t="str">
        <x:f>'64张卡牌'!Q17</x:f>
        <x:v>冰形态的技能产霜另算；不提供抽牌，且每副本每战通常一次。</x:v>
      </x:c>
      <x:c r="F53" s="3" t="str">
        <x:f>'64张卡牌'!R17</x:f>
        <x:v>冰下侧重产霜，月下返少量自损；血月不同时被视为月。</x:v>
      </x:c>
      <x:c r="G53" s="3" t="str">
        <x:f>'64张卡牌'!S17</x:f>
        <x:v>弃牌不触发任何本角色专属收益；用于找切换牌与关键攻击。</x:v>
      </x:c>
    </x:row>
    <x:row r="54" ht="28" customHeight="1">
      <x:c r="A54" s="10" t="str">
        <x:v>实现批次</x:v>
      </x:c>
      <x:c r="B54" s="11" t="str">
        <x:f>'64张卡牌'!N18</x:f>
        <x:v>完整卡池候选</x:v>
      </x:c>
      <x:c r="C54" s="11" t="str">
        <x:f>'64张卡牌'!O18</x:f>
        <x:v>优先实现</x:v>
      </x:c>
      <x:c r="D54" s="11" t="str">
        <x:f>'64张卡牌'!P18</x:f>
        <x:v>优先实现</x:v>
      </x:c>
      <x:c r="E54" s="11" t="str">
        <x:f>'64张卡牌'!Q18</x:f>
        <x:v>完整卡池候选</x:v>
      </x:c>
      <x:c r="F54" s="11" t="str">
        <x:f>'64张卡牌'!R18</x:f>
        <x:v>优先实现</x:v>
      </x:c>
      <x:c r="G54" s="11" t="str">
        <x:f>'64张卡牌'!S18</x:f>
        <x:v>完整卡池候选</x:v>
      </x:c>
    </x:row>
    <x:row r="57" ht="28" customHeight="1">
      <x:c r="A57" s="26" t="str">
        <x:v>卡牌 19—24  ·  C15 至 C20</x:v>
      </x:c>
      <x:c r="B57" s="24"/>
      <x:c r="C57" s="24"/>
      <x:c r="D57" s="24"/>
      <x:c r="E57" s="24"/>
      <x:c r="F57" s="24"/>
      <x:c r="G57" s="24"/>
    </x:row>
    <x:row r="58" ht="32" customHeight="1">
      <x:c r="A58" s="15" t="str">
        <x:v>卡牌名</x:v>
      </x:c>
      <x:c r="B58" s="15" t="str">
        <x:f>'64张卡牌'!T5</x:f>
        <x:v>双弧</x:v>
      </x:c>
      <x:c r="C58" s="15" t="str">
        <x:f>'64张卡牌'!U5</x:f>
        <x:v>霜刃回环</x:v>
      </x:c>
      <x:c r="D58" s="15" t="str">
        <x:f>'64张卡牌'!V5</x:f>
        <x:v>月洒</x:v>
      </x:c>
      <x:c r="E58" s="15" t="str">
        <x:f>'64张卡牌'!W5</x:f>
        <x:v>寒潮</x:v>
      </x:c>
      <x:c r="F58" s="15" t="str">
        <x:f>'64张卡牌'!X5</x:f>
        <x:v>止水</x:v>
      </x:c>
      <x:c r="G58" s="15" t="str">
        <x:f>'64张卡牌'!Y5</x:f>
        <x:v>见隙</x:v>
      </x:c>
    </x:row>
    <x:row r="59" ht="28" customHeight="1">
      <x:c r="A59" s="10" t="str">
        <x:v>ID</x:v>
      </x:c>
      <x:c r="B59" s="11" t="str">
        <x:f>'64张卡牌'!T6</x:f>
        <x:v>C15</x:v>
      </x:c>
      <x:c r="C59" s="11" t="str">
        <x:f>'64张卡牌'!U6</x:f>
        <x:v>C16</x:v>
      </x:c>
      <x:c r="D59" s="11" t="str">
        <x:f>'64张卡牌'!V6</x:f>
        <x:v>C17</x:v>
      </x:c>
      <x:c r="E59" s="11" t="str">
        <x:f>'64张卡牌'!W6</x:f>
        <x:v>C18</x:v>
      </x:c>
      <x:c r="F59" s="11" t="str">
        <x:f>'64张卡牌'!X6</x:f>
        <x:v>C19</x:v>
      </x:c>
      <x:c r="G59" s="11" t="str">
        <x:f>'64张卡牌'!Y6</x:f>
        <x:v>C20</x:v>
      </x:c>
    </x:row>
    <x:row r="60" ht="28" customHeight="1">
      <x:c r="A60" s="10" t="str">
        <x:v>稀有度</x:v>
      </x:c>
      <x:c r="B60" s="3" t="str">
        <x:f>'64张卡牌'!T7</x:f>
        <x:v>普通</x:v>
      </x:c>
      <x:c r="C60" s="3" t="str">
        <x:f>'64张卡牌'!U7</x:f>
        <x:v>普通</x:v>
      </x:c>
      <x:c r="D60" s="3" t="str">
        <x:f>'64张卡牌'!V7</x:f>
        <x:v>普通</x:v>
      </x:c>
      <x:c r="E60" s="3" t="str">
        <x:f>'64张卡牌'!W7</x:f>
        <x:v>普通</x:v>
      </x:c>
      <x:c r="F60" s="3" t="str">
        <x:f>'64张卡牌'!X7</x:f>
        <x:v>普通</x:v>
      </x:c>
      <x:c r="G60" s="3" t="str">
        <x:f>'64张卡牌'!Y7</x:f>
        <x:v>普通</x:v>
      </x:c>
    </x:row>
    <x:row r="61" ht="28" customHeight="1">
      <x:c r="A61" s="10" t="str">
        <x:v>类型</x:v>
      </x:c>
      <x:c r="B61" s="11" t="str">
        <x:f>'64张卡牌'!T8</x:f>
        <x:v>攻击</x:v>
      </x:c>
      <x:c r="C61" s="11" t="str">
        <x:f>'64张卡牌'!U8</x:f>
        <x:v>攻击</x:v>
      </x:c>
      <x:c r="D61" s="11" t="str">
        <x:f>'64张卡牌'!V8</x:f>
        <x:v>攻击</x:v>
      </x:c>
      <x:c r="E61" s="11" t="str">
        <x:f>'64张卡牌'!W8</x:f>
        <x:v>技能</x:v>
      </x:c>
      <x:c r="F61" s="11" t="str">
        <x:f>'64张卡牌'!X8</x:f>
        <x:v>技能</x:v>
      </x:c>
      <x:c r="G61" s="11" t="str">
        <x:f>'64张卡牌'!Y8</x:f>
        <x:v>攻击</x:v>
      </x:c>
    </x:row>
    <x:row r="62" ht="28" customHeight="1">
      <x:c r="A62" s="10" t="str">
        <x:v>费用 · 基础</x:v>
      </x:c>
      <x:c r="B62" s="27" t="n">
        <x:f>'64张卡牌'!T9</x:f>
        <x:v>1</x:v>
      </x:c>
      <x:c r="C62" s="27" t="n">
        <x:f>'64张卡牌'!U9</x:f>
        <x:v>1</x:v>
      </x:c>
      <x:c r="D62" s="27" t="n">
        <x:f>'64张卡牌'!V9</x:f>
        <x:v>2</x:v>
      </x:c>
      <x:c r="E62" s="27" t="n">
        <x:f>'64张卡牌'!W9</x:f>
        <x:v>1</x:v>
      </x:c>
      <x:c r="F62" s="27" t="n">
        <x:f>'64张卡牌'!X9</x:f>
        <x:v>1</x:v>
      </x:c>
      <x:c r="G62" s="27" t="n">
        <x:f>'64张卡牌'!Y9</x:f>
        <x:v>1</x:v>
      </x:c>
    </x:row>
    <x:row r="63" ht="28" customHeight="1">
      <x:c r="A63" s="10" t="str">
        <x:v>费用 · 升级</x:v>
      </x:c>
      <x:c r="B63" s="28" t="n">
        <x:f>'64张卡牌'!T10</x:f>
        <x:v>1</x:v>
      </x:c>
      <x:c r="C63" s="28" t="n">
        <x:f>'64张卡牌'!U10</x:f>
        <x:v>1</x:v>
      </x:c>
      <x:c r="D63" s="28" t="n">
        <x:f>'64张卡牌'!V10</x:f>
        <x:v>2</x:v>
      </x:c>
      <x:c r="E63" s="28" t="n">
        <x:f>'64张卡牌'!W10</x:f>
        <x:v>1</x:v>
      </x:c>
      <x:c r="F63" s="28" t="n">
        <x:f>'64张卡牌'!X10</x:f>
        <x:v>1</x:v>
      </x:c>
      <x:c r="G63" s="28" t="n">
        <x:f>'64张卡牌'!Y10</x:f>
        <x:v>1</x:v>
      </x:c>
    </x:row>
    <x:row r="64" ht="44" customHeight="1">
      <x:c r="A64" s="10" t="str">
        <x:v>基础效果</x:v>
      </x:c>
      <x:c r="B64" s="3" t="str">
        <x:f>'64张卡牌'!T11</x:f>
        <x:v>造成4点伤害2次；每击后施加1月痕。</x:v>
      </x:c>
      <x:c r="C64" s="3" t="str">
        <x:f>'64张卡牌'!U11</x:f>
        <x:v>造成8点伤害。若本回合已经主动切换过冰月形态，抽1张牌。</x:v>
      </x:c>
      <x:c r="D64" s="3" t="str">
        <x:f>'64张卡牌'!V11</x:f>
        <x:v>对所有敌人造成7点伤害，并各施加1月痕。</x:v>
      </x:c>
      <x:c r="E64" s="3" t="str">
        <x:f>'64张卡牌'!W11</x:f>
        <x:v>获得5点格挡。对所有敌人施加1月痕。</x:v>
      </x:c>
      <x:c r="F64" s="3" t="str">
        <x:f>'64张卡牌'!X11</x:f>
        <x:v>消耗最多2霜。获得4点格挡，每消耗1霜额外获得4点格挡。</x:v>
      </x:c>
      <x:c r="G64" s="3" t="str">
        <x:f>'64张卡牌'!Y11</x:f>
        <x:v>造成7点伤害。若目标此时至少有4月痕，施加1层虚弱。</x:v>
      </x:c>
    </x:row>
    <x:row r="65" ht="44" customHeight="1">
      <x:c r="A65" s="10" t="str">
        <x:v>升级后完整效果</x:v>
      </x:c>
      <x:c r="B65" s="11" t="str">
        <x:f>'64张卡牌'!T12</x:f>
        <x:v>造成5点伤害2次；每击后施加1月痕。</x:v>
      </x:c>
      <x:c r="C65" s="11" t="str">
        <x:f>'64张卡牌'!U12</x:f>
        <x:v>造成11点伤害。若本回合已经主动切换过冰月形态，抽1张牌。</x:v>
      </x:c>
      <x:c r="D65" s="11" t="str">
        <x:f>'64张卡牌'!V12</x:f>
        <x:v>对所有敌人造成10点伤害，并各施加1月痕。</x:v>
      </x:c>
      <x:c r="E65" s="11" t="str">
        <x:f>'64张卡牌'!W12</x:f>
        <x:v>获得8点格挡。对所有敌人施加1月痕。</x:v>
      </x:c>
      <x:c r="F65" s="11" t="str">
        <x:f>'64张卡牌'!X12</x:f>
        <x:v>消耗最多2霜。获得6点格挡，每消耗1霜额外获得4点格挡。</x:v>
      </x:c>
      <x:c r="G65" s="11" t="str">
        <x:f>'64张卡牌'!Y12</x:f>
        <x:v>造成10点伤害。若目标此时至少有4月痕，施加2层虚弱。</x:v>
      </x:c>
    </x:row>
    <x:row r="66" ht="28" customHeight="1">
      <x:c r="A66" s="20" t="str">
        <x:v>升级改动</x:v>
      </x:c>
      <x:c r="B66" s="21" t="str">
        <x:f>'64张卡牌'!T13</x:f>
        <x:v>每击4→5</x:v>
      </x:c>
      <x:c r="C66" s="21" t="str">
        <x:f>'64张卡牌'!U13</x:f>
        <x:v>伤害8→11</x:v>
      </x:c>
      <x:c r="D66" s="21" t="str">
        <x:f>'64张卡牌'!V13</x:f>
        <x:v>群体伤害7→10</x:v>
      </x:c>
      <x:c r="E66" s="21" t="str">
        <x:f>'64张卡牌'!W13</x:f>
        <x:v>格挡5→8</x:v>
      </x:c>
      <x:c r="F66" s="21" t="str">
        <x:f>'64张卡牌'!X13</x:f>
        <x:v>基础格挡4→6</x:v>
      </x:c>
      <x:c r="G66" s="21" t="str">
        <x:f>'64张卡牌'!Y13</x:f>
        <x:v>伤害7→10；虚弱1→2</x:v>
      </x:c>
    </x:row>
    <x:row r="67" ht="28" customHeight="1">
      <x:c r="A67" s="10" t="str">
        <x:v>机制</x:v>
      </x:c>
      <x:c r="B67" s="11" t="str">
        <x:f>'64张卡牌'!T14</x:f>
        <x:v>月痕</x:v>
      </x:c>
      <x:c r="C67" s="11" t="str">
        <x:f>'64张卡牌'!U14</x:f>
        <x:v>抽</x:v>
      </x:c>
      <x:c r="D67" s="11" t="str">
        <x:f>'64张卡牌'!V14</x:f>
        <x:v>月痕</x:v>
      </x:c>
      <x:c r="E67" s="11" t="str">
        <x:f>'64张卡牌'!W14</x:f>
        <x:v>月痕</x:v>
      </x:c>
      <x:c r="F67" s="11" t="str">
        <x:f>'64张卡牌'!X14</x:f>
        <x:v>霜、消耗</x:v>
      </x:c>
      <x:c r="G67" s="11" t="str">
        <x:f>'64张卡牌'!Y14</x:f>
        <x:v>月痕</x:v>
      </x:c>
    </x:row>
    <x:row r="68" ht="28" customHeight="1">
      <x:c r="A68" s="10" t="str">
        <x:v>设计职责</x:v>
      </x:c>
      <x:c r="B68" s="3" t="str">
        <x:f>'64张卡牌'!T15</x:f>
        <x:v>多段攻击／分次叠层</x:v>
      </x:c>
      <x:c r="C68" s="3" t="str">
        <x:f>'64张卡牌'!U15</x:f>
        <x:v>切换回报／过牌</x:v>
      </x:c>
      <x:c r="D68" s="3" t="str">
        <x:f>'64张卡牌'!V15</x:f>
        <x:v>群攻／铺层</x:v>
      </x:c>
      <x:c r="E68" s="3" t="str">
        <x:f>'64张卡牌'!W15</x:f>
        <x:v>群体叠层／防御</x:v>
      </x:c>
      <x:c r="F68" s="3" t="str">
        <x:f>'64张卡牌'!X15</x:f>
        <x:v>资源换防御</x:v>
      </x:c>
      <x:c r="G68" s="3" t="str">
        <x:f>'64张卡牌'!Y15</x:f>
        <x:v>阈值条件／减益</x:v>
      </x:c>
    </x:row>
    <x:row r="69" ht="28" customHeight="1">
      <x:c r="A69" s="10" t="str">
        <x:v>适配方向</x:v>
      </x:c>
      <x:c r="B69" s="11" t="str">
        <x:f>'64张卡牌'!T16</x:f>
        <x:v>月蚀、血月</x:v>
      </x:c>
      <x:c r="C69" s="11" t="str">
        <x:f>'64张卡牌'!U16</x:f>
        <x:v>切换、冰爆</x:v>
      </x:c>
      <x:c r="D69" s="11" t="str">
        <x:f>'64张卡牌'!V16</x:f>
        <x:v>月蚀、血月</x:v>
      </x:c>
      <x:c r="E69" s="11" t="str">
        <x:f>'64张卡牌'!W16</x:f>
        <x:v>控霜、月蚀</x:v>
      </x:c>
      <x:c r="F69" s="11" t="str">
        <x:f>'64张卡牌'!X16</x:f>
        <x:v>控霜、血月</x:v>
      </x:c>
      <x:c r="G69" s="11" t="str">
        <x:f>'64张卡牌'!Y16</x:f>
        <x:v>月蚀、泛用</x:v>
      </x:c>
    </x:row>
    <x:row r="70" ht="44" customHeight="1">
      <x:c r="A70" s="10" t="str">
        <x:v>时序／审阅重点</x:v>
      </x:c>
      <x:c r="B70" s="3" t="str">
        <x:f>'64张卡牌'!T17</x:f>
        <x:v>每次施加独立结算，可先触发月蚀再打第二击；目标死亡取消后续攻击。</x:v>
      </x:c>
      <x:c r="C70" s="3" t="str">
        <x:f>'64张卡牌'!U17</x:f>
        <x:v>血月入场与自动退场不满足条件；1费防止单靠本牌零费自循环。</x:v>
      </x:c>
      <x:c r="D70" s="3" t="str">
        <x:f>'64张卡牌'!V17</x:f>
        <x:v>不是单体攻击，不触发月形态的付血附加月痕。</x:v>
      </x:c>
      <x:c r="E70" s="3" t="str">
        <x:f>'64张卡牌'!W17</x:f>
        <x:v>各目标独立检查月蚀；冰形态回生仅领取本回合首次月蚀的一次。</x:v>
      </x:c>
      <x:c r="F70" s="3" t="str">
        <x:f>'64张卡牌'!X17</x:f>
        <x:v>消耗霜与保持高霜的冻彻构成取舍；无霜仍有基础格挡。</x:v>
      </x:c>
      <x:c r="G70" s="3" t="str">
        <x:f>'64张卡牌'!Y17</x:f>
        <x:v>检查发生在月被动的附加月痕之前；人工制品可抵挡虚弱。</x:v>
      </x:c>
    </x:row>
    <x:row r="71" ht="28" customHeight="1">
      <x:c r="A71" s="10" t="str">
        <x:v>实现批次</x:v>
      </x:c>
      <x:c r="B71" s="11" t="str">
        <x:f>'64张卡牌'!T18</x:f>
        <x:v>完整卡池候选</x:v>
      </x:c>
      <x:c r="C71" s="11" t="str">
        <x:f>'64张卡牌'!U18</x:f>
        <x:v>完整卡池候选</x:v>
      </x:c>
      <x:c r="D71" s="11" t="str">
        <x:f>'64张卡牌'!V18</x:f>
        <x:v>完整卡池候选</x:v>
      </x:c>
      <x:c r="E71" s="11" t="str">
        <x:f>'64张卡牌'!W18</x:f>
        <x:v>完整卡池候选</x:v>
      </x:c>
      <x:c r="F71" s="11" t="str">
        <x:f>'64张卡牌'!X18</x:f>
        <x:v>完整卡池候选</x:v>
      </x:c>
      <x:c r="G71" s="11" t="str">
        <x:f>'64张卡牌'!Y18</x:f>
        <x:v>完整卡池候选</x:v>
      </x:c>
    </x:row>
    <x:row r="74" ht="28" customHeight="1">
      <x:c r="A74" s="26" t="str">
        <x:v>卡牌 25—30  ·  U01 至 U06</x:v>
      </x:c>
      <x:c r="B74" s="24"/>
      <x:c r="C74" s="24"/>
      <x:c r="D74" s="24"/>
      <x:c r="E74" s="24"/>
      <x:c r="F74" s="24"/>
      <x:c r="G74" s="24"/>
    </x:row>
    <x:row r="75" ht="32" customHeight="1">
      <x:c r="A75" s="15" t="str">
        <x:v>卡牌名</x:v>
      </x:c>
      <x:c r="B75" s="15" t="str">
        <x:f>'64张卡牌'!Z5</x:f>
        <x:v>镜月</x:v>
      </x:c>
      <x:c r="C75" s="15" t="str">
        <x:f>'64张卡牌'!AA5</x:f>
        <x:v>月下霜</x:v>
      </x:c>
      <x:c r="D75" s="15" t="str">
        <x:f>'64张卡牌'!AB5</x:f>
        <x:v>潮汐</x:v>
      </x:c>
      <x:c r="E75" s="15" t="str">
        <x:f>'64张卡牌'!AC5</x:f>
        <x:v>霜缝</x:v>
      </x:c>
      <x:c r="F75" s="15" t="str">
        <x:f>'64张卡牌'!AD5</x:f>
        <x:v>冻彻</x:v>
      </x:c>
      <x:c r="G75" s="15" t="str">
        <x:f>'64张卡牌'!AE5</x:f>
        <x:v>玄冰</x:v>
      </x:c>
    </x:row>
    <x:row r="76" ht="28" customHeight="1">
      <x:c r="A76" s="10" t="str">
        <x:v>ID</x:v>
      </x:c>
      <x:c r="B76" s="11" t="str">
        <x:f>'64张卡牌'!Z6</x:f>
        <x:v>U01</x:v>
      </x:c>
      <x:c r="C76" s="11" t="str">
        <x:f>'64张卡牌'!AA6</x:f>
        <x:v>U02</x:v>
      </x:c>
      <x:c r="D76" s="11" t="str">
        <x:f>'64张卡牌'!AB6</x:f>
        <x:v>U03</x:v>
      </x:c>
      <x:c r="E76" s="11" t="str">
        <x:f>'64张卡牌'!AC6</x:f>
        <x:v>U04</x:v>
      </x:c>
      <x:c r="F76" s="11" t="str">
        <x:f>'64张卡牌'!AD6</x:f>
        <x:v>U05</x:v>
      </x:c>
      <x:c r="G76" s="11" t="str">
        <x:f>'64张卡牌'!AE6</x:f>
        <x:v>U06</x:v>
      </x:c>
    </x:row>
    <x:row r="77" ht="28" customHeight="1">
      <x:c r="A77" s="10" t="str">
        <x:v>稀有度</x:v>
      </x:c>
      <x:c r="B77" s="3" t="str">
        <x:f>'64张卡牌'!Z7</x:f>
        <x:v>罕见</x:v>
      </x:c>
      <x:c r="C77" s="3" t="str">
        <x:f>'64张卡牌'!AA7</x:f>
        <x:v>罕见</x:v>
      </x:c>
      <x:c r="D77" s="3" t="str">
        <x:f>'64张卡牌'!AB7</x:f>
        <x:v>罕见</x:v>
      </x:c>
      <x:c r="E77" s="3" t="str">
        <x:f>'64张卡牌'!AC7</x:f>
        <x:v>罕见</x:v>
      </x:c>
      <x:c r="F77" s="3" t="str">
        <x:f>'64张卡牌'!AD7</x:f>
        <x:v>罕见</x:v>
      </x:c>
      <x:c r="G77" s="3" t="str">
        <x:f>'64张卡牌'!AE7</x:f>
        <x:v>罕见</x:v>
      </x:c>
    </x:row>
    <x:row r="78" ht="28" customHeight="1">
      <x:c r="A78" s="10" t="str">
        <x:v>类型</x:v>
      </x:c>
      <x:c r="B78" s="11" t="str">
        <x:f>'64张卡牌'!Z8</x:f>
        <x:v>技能</x:v>
      </x:c>
      <x:c r="C78" s="11" t="str">
        <x:f>'64张卡牌'!AA8</x:f>
        <x:v>能力</x:v>
      </x:c>
      <x:c r="D78" s="11" t="str">
        <x:f>'64张卡牌'!AB8</x:f>
        <x:v>能力</x:v>
      </x:c>
      <x:c r="E78" s="11" t="str">
        <x:f>'64张卡牌'!AC8</x:f>
        <x:v>能力</x:v>
      </x:c>
      <x:c r="F78" s="11" t="str">
        <x:f>'64张卡牌'!AD8</x:f>
        <x:v>技能</x:v>
      </x:c>
      <x:c r="G78" s="11" t="str">
        <x:f>'64张卡牌'!AE8</x:f>
        <x:v>攻击</x:v>
      </x:c>
    </x:row>
    <x:row r="79" ht="28" customHeight="1">
      <x:c r="A79" s="10" t="str">
        <x:v>费用 · 基础</x:v>
      </x:c>
      <x:c r="B79" s="27" t="n">
        <x:f>'64张卡牌'!Z9</x:f>
        <x:v>1</x:v>
      </x:c>
      <x:c r="C79" s="27" t="n">
        <x:f>'64张卡牌'!AA9</x:f>
        <x:v>1</x:v>
      </x:c>
      <x:c r="D79" s="27" t="n">
        <x:f>'64张卡牌'!AB9</x:f>
        <x:v>1</x:v>
      </x:c>
      <x:c r="E79" s="27" t="n">
        <x:f>'64张卡牌'!AC9</x:f>
        <x:v>1</x:v>
      </x:c>
      <x:c r="F79" s="27" t="n">
        <x:f>'64张卡牌'!AD9</x:f>
        <x:v>1</x:v>
      </x:c>
      <x:c r="G79" s="27" t="n">
        <x:f>'64张卡牌'!AE9</x:f>
        <x:v>2</x:v>
      </x:c>
    </x:row>
    <x:row r="80" ht="28" customHeight="1">
      <x:c r="A80" s="10" t="str">
        <x:v>费用 · 升级</x:v>
      </x:c>
      <x:c r="B80" s="28" t="n">
        <x:f>'64张卡牌'!Z10</x:f>
        <x:v>0</x:v>
      </x:c>
      <x:c r="C80" s="28" t="n">
        <x:f>'64张卡牌'!AA10</x:f>
        <x:v>1</x:v>
      </x:c>
      <x:c r="D80" s="28" t="n">
        <x:f>'64张卡牌'!AB10</x:f>
        <x:v>1</x:v>
      </x:c>
      <x:c r="E80" s="28" t="n">
        <x:f>'64张卡牌'!AC10</x:f>
        <x:v>1</x:v>
      </x:c>
      <x:c r="F80" s="28" t="n">
        <x:f>'64张卡牌'!AD10</x:f>
        <x:v>1</x:v>
      </x:c>
      <x:c r="G80" s="28" t="n">
        <x:f>'64张卡牌'!AE10</x:f>
        <x:v>2</x:v>
      </x:c>
    </x:row>
    <x:row r="81" ht="44" customHeight="1">
      <x:c r="A81" s="10" t="str">
        <x:v>基础效果</x:v>
      </x:c>
      <x:c r="B81" s="3" t="str">
        <x:f>'64张卡牌'!Z11</x:f>
        <x:v>获得2霜。施加2月痕。选择进入冰或月。</x:v>
      </x:c>
      <x:c r="C81" s="3" t="str">
        <x:f>'64张卡牌'!AA11</x:f>
        <x:v>每回合你的前2次月蚀结算结束后，各获得1霜。</x:v>
      </x:c>
      <x:c r="D81" s="3" t="str">
        <x:f>'64张卡牌'!AB11</x:f>
        <x:v>你的月蚀每结算一击，获得1点格挡。</x:v>
      </x:c>
      <x:c r="E81" s="3" t="str">
        <x:f>'64张卡牌'!AC11</x:f>
        <x:v>每回合首次主动切换冰月形态时，抽1张牌。</x:v>
      </x:c>
      <x:c r="F81" s="3" t="str">
        <x:f>'64张卡牌'!AD11</x:f>
        <x:v>获得4加上当前霜数2倍的格挡。不消耗霜。</x:v>
      </x:c>
      <x:c r="G81" s="3" t="str">
        <x:f>'64张卡牌'!AE11</x:f>
        <x:v>造成16点伤害。若当前至少有4霜，施加2层虚弱。</x:v>
      </x:c>
    </x:row>
    <x:row r="82" ht="44" customHeight="1">
      <x:c r="A82" s="10" t="str">
        <x:v>升级后完整效果</x:v>
      </x:c>
      <x:c r="B82" s="11" t="str">
        <x:f>'64张卡牌'!Z12</x:f>
        <x:v>获得2霜。施加2月痕。选择进入冰或月。</x:v>
      </x:c>
      <x:c r="C82" s="11" t="str">
        <x:f>'64张卡牌'!AA12</x:f>
        <x:v>每回合你的前2次月蚀结算结束后，各获得2霜。</x:v>
      </x:c>
      <x:c r="D82" s="11" t="str">
        <x:f>'64张卡牌'!AB12</x:f>
        <x:v>你的月蚀每结算一击，获得2点格挡。</x:v>
      </x:c>
      <x:c r="E82" s="11" t="str">
        <x:f>'64张卡牌'!AC12</x:f>
        <x:v>每回合首次主动切换冰月形态时，抽2张牌。</x:v>
      </x:c>
      <x:c r="F82" s="11" t="str">
        <x:f>'64张卡牌'!AD12</x:f>
        <x:v>获得7加上当前霜数2倍的格挡。不消耗霜。</x:v>
      </x:c>
      <x:c r="G82" s="11" t="str">
        <x:f>'64张卡牌'!AE12</x:f>
        <x:v>造成20点伤害。若当前至少有4霜，施加2层虚弱。</x:v>
      </x:c>
    </x:row>
    <x:row r="83" ht="28" customHeight="1">
      <x:c r="A83" s="20" t="str">
        <x:v>升级改动</x:v>
      </x:c>
      <x:c r="B83" s="21" t="str">
        <x:f>'64张卡牌'!Z13</x:f>
        <x:v>费用1→0</x:v>
      </x:c>
      <x:c r="C83" s="21" t="str">
        <x:f>'64张卡牌'!AA13</x:f>
        <x:v>每次霜1→2</x:v>
      </x:c>
      <x:c r="D83" s="21" t="str">
        <x:f>'64张卡牌'!AB13</x:f>
        <x:v>每击格挡1→2</x:v>
      </x:c>
      <x:c r="E83" s="21" t="str">
        <x:f>'64张卡牌'!AC13</x:f>
        <x:v>抽牌1→2</x:v>
      </x:c>
      <x:c r="F83" s="21" t="str">
        <x:f>'64张卡牌'!AD13</x:f>
        <x:v>基础格挡4→7</x:v>
      </x:c>
      <x:c r="G83" s="21" t="str">
        <x:f>'64张卡牌'!AE13</x:f>
        <x:v>伤害16→20</x:v>
      </x:c>
    </x:row>
    <x:row r="84" ht="28" customHeight="1">
      <x:c r="A84" s="10" t="str">
        <x:v>机制</x:v>
      </x:c>
      <x:c r="B84" s="11" t="str">
        <x:f>'64张卡牌'!Z14</x:f>
        <x:v>霜、月痕、进入</x:v>
      </x:c>
      <x:c r="C84" s="11" t="str">
        <x:f>'64张卡牌'!AA14</x:f>
        <x:v>霜、月蚀</x:v>
      </x:c>
      <x:c r="D84" s="11" t="str">
        <x:f>'64张卡牌'!AB14</x:f>
        <x:v>月蚀</x:v>
      </x:c>
      <x:c r="E84" s="11" t="str">
        <x:f>'64张卡牌'!AC14</x:f>
        <x:v>抽</x:v>
      </x:c>
      <x:c r="F84" s="11" t="str">
        <x:f>'64张卡牌'!AD14</x:f>
        <x:v>霜、消耗</x:v>
      </x:c>
      <x:c r="G84" s="11" t="str">
        <x:f>'64张卡牌'!AE14</x:f>
        <x:v>霜</x:v>
      </x:c>
    </x:row>
    <x:row r="85" ht="28" customHeight="1">
      <x:c r="A85" s="10" t="str">
        <x:v>设计职责</x:v>
      </x:c>
      <x:c r="B85" s="3" t="str">
        <x:f>'64张卡牌'!Z15</x:f>
        <x:v>资源桥梁／可选入口</x:v>
      </x:c>
      <x:c r="C85" s="3" t="str">
        <x:f>'64张卡牌'!AA15</x:f>
        <x:v>月蚀返霜</x:v>
      </x:c>
      <x:c r="D85" s="3" t="str">
        <x:f>'64张卡牌'!AB15</x:f>
        <x:v>击数转防御</x:v>
      </x:c>
      <x:c r="E85" s="3" t="str">
        <x:f>'64张卡牌'!AC15</x:f>
        <x:v>切换过牌</x:v>
      </x:c>
      <x:c r="F85" s="3" t="str">
        <x:f>'64张卡牌'!AD15</x:f>
        <x:v>存量防御</x:v>
      </x:c>
      <x:c r="G85" s="3" t="str">
        <x:f>'64张卡牌'!AE15</x:f>
        <x:v>高霜输出／减益</x:v>
      </x:c>
    </x:row>
    <x:row r="86" ht="28" customHeight="1">
      <x:c r="A86" s="10" t="str">
        <x:v>适配方向</x:v>
      </x:c>
      <x:c r="B86" s="11" t="str">
        <x:f>'64张卡牌'!Z16</x:f>
        <x:v>切换、月蚀、控霜</x:v>
      </x:c>
      <x:c r="C86" s="11" t="str">
        <x:f>'64张卡牌'!AA16</x:f>
        <x:v>月蚀、冰爆、控霜</x:v>
      </x:c>
      <x:c r="D86" s="11" t="str">
        <x:f>'64张卡牌'!AB16</x:f>
        <x:v>月蚀、血月</x:v>
      </x:c>
      <x:c r="E86" s="11" t="str">
        <x:f>'64张卡牌'!AC16</x:f>
        <x:v>切换、泛用</x:v>
      </x:c>
      <x:c r="F86" s="11" t="str">
        <x:f>'64张卡牌'!AD16</x:f>
        <x:v>控霜、泛用</x:v>
      </x:c>
      <x:c r="G86" s="11" t="str">
        <x:f>'64张卡牌'!AE16</x:f>
        <x:v>控霜、冰爆</x:v>
      </x:c>
    </x:row>
    <x:row r="87" ht="44" customHeight="1">
      <x:c r="A87" s="10" t="str">
        <x:v>时序／审阅重点</x:v>
      </x:c>
      <x:c r="B87" s="3" t="str">
        <x:f>'64张卡牌'!Z17</x:f>
        <x:v>进入相同形态不触发切换奖励；血月中选择基础形态会提前结束血月。</x:v>
      </x:c>
      <x:c r="C87" s="3" t="str">
        <x:f>'64张卡牌'!AA17</x:f>
        <x:v>同一次月蚀按一次计算，不按段数；霜满时溢出丢弃。</x:v>
      </x:c>
      <x:c r="D87" s="3" t="str">
        <x:f>'64张卡牌'!AB17</x:f>
        <x:v>被格挡的一击仍算；敌人死亡后未结算的击数不预支格挡。</x:v>
      </x:c>
      <x:c r="E87" s="3" t="str">
        <x:f>'64张卡牌'!AC17</x:f>
        <x:v>同一回合反复进出不重置次数；血月出入不触发。</x:v>
      </x:c>
      <x:c r="F87" s="3" t="str">
        <x:f>'64张卡牌'!AD17</x:f>
        <x:v>读取牌面执行到此处的霜；本牌触发的冰形态产霜在牌面结束后才给。</x:v>
      </x:c>
      <x:c r="G87" s="3" t="str">
        <x:f>'64张卡牌'!AE17</x:f>
        <x:v>不消耗霜；但月被动可能在伤害前消耗1霜，使条件失效。</x:v>
      </x:c>
    </x:row>
    <x:row r="88" ht="28" customHeight="1">
      <x:c r="A88" s="10" t="str">
        <x:v>实现批次</x:v>
      </x:c>
      <x:c r="B88" s="11" t="str">
        <x:f>'64张卡牌'!Z18</x:f>
        <x:v>优先实现</x:v>
      </x:c>
      <x:c r="C88" s="11" t="str">
        <x:f>'64张卡牌'!AA18</x:f>
        <x:v>完整卡池候选</x:v>
      </x:c>
      <x:c r="D88" s="11" t="str">
        <x:f>'64张卡牌'!AB18</x:f>
        <x:v>优先实现</x:v>
      </x:c>
      <x:c r="E88" s="11" t="str">
        <x:f>'64张卡牌'!AC18</x:f>
        <x:v>完整卡池候选</x:v>
      </x:c>
      <x:c r="F88" s="11" t="str">
        <x:f>'64张卡牌'!AD18</x:f>
        <x:v>完整卡池候选</x:v>
      </x:c>
      <x:c r="G88" s="11" t="str">
        <x:f>'64张卡牌'!AE18</x:f>
        <x:v>完整卡池候选</x:v>
      </x:c>
    </x:row>
    <x:row r="91" ht="28" customHeight="1">
      <x:c r="A91" s="26" t="str">
        <x:v>卡牌 31—36  ·  U07 至 U12</x:v>
      </x:c>
      <x:c r="B91" s="24"/>
      <x:c r="C91" s="24"/>
      <x:c r="D91" s="24"/>
      <x:c r="E91" s="24"/>
      <x:c r="F91" s="24"/>
      <x:c r="G91" s="24"/>
    </x:row>
    <x:row r="92" ht="32" customHeight="1">
      <x:c r="A92" s="15" t="str">
        <x:v>卡牌名</x:v>
      </x:c>
      <x:c r="B92" s="15" t="str">
        <x:f>'64张卡牌'!AF5</x:f>
        <x:v>冰河断</x:v>
      </x:c>
      <x:c r="C92" s="15" t="str">
        <x:f>'64张卡牌'!AG5</x:f>
        <x:v>霜解</x:v>
      </x:c>
      <x:c r="D92" s="15" t="str">
        <x:f>'64张卡牌'!AH5</x:f>
        <x:v>凛冬留白</x:v>
      </x:c>
      <x:c r="E92" s="15" t="str">
        <x:f>'64张卡牌'!AI5</x:f>
        <x:v>满月</x:v>
      </x:c>
      <x:c r="F92" s="15" t="str">
        <x:f>'64张卡牌'!AJ5</x:f>
        <x:v>弦外之音</x:v>
      </x:c>
      <x:c r="G92" s="15" t="str">
        <x:f>'64张卡牌'!AK5</x:f>
        <x:v>掩月</x:v>
      </x:c>
    </x:row>
    <x:row r="93" ht="28" customHeight="1">
      <x:c r="A93" s="10" t="str">
        <x:v>ID</x:v>
      </x:c>
      <x:c r="B93" s="11" t="str">
        <x:f>'64张卡牌'!AF6</x:f>
        <x:v>U07</x:v>
      </x:c>
      <x:c r="C93" s="11" t="str">
        <x:f>'64张卡牌'!AG6</x:f>
        <x:v>U08</x:v>
      </x:c>
      <x:c r="D93" s="11" t="str">
        <x:f>'64张卡牌'!AH6</x:f>
        <x:v>U09</x:v>
      </x:c>
      <x:c r="E93" s="11" t="str">
        <x:f>'64张卡牌'!AI6</x:f>
        <x:v>U10</x:v>
      </x:c>
      <x:c r="F93" s="11" t="str">
        <x:f>'64张卡牌'!AJ6</x:f>
        <x:v>U11</x:v>
      </x:c>
      <x:c r="G93" s="11" t="str">
        <x:f>'64张卡牌'!AK6</x:f>
        <x:v>U12</x:v>
      </x:c>
    </x:row>
    <x:row r="94" ht="28" customHeight="1">
      <x:c r="A94" s="10" t="str">
        <x:v>稀有度</x:v>
      </x:c>
      <x:c r="B94" s="3" t="str">
        <x:f>'64张卡牌'!AF7</x:f>
        <x:v>罕见</x:v>
      </x:c>
      <x:c r="C94" s="3" t="str">
        <x:f>'64张卡牌'!AG7</x:f>
        <x:v>罕见</x:v>
      </x:c>
      <x:c r="D94" s="3" t="str">
        <x:f>'64张卡牌'!AH7</x:f>
        <x:v>罕见</x:v>
      </x:c>
      <x:c r="E94" s="3" t="str">
        <x:f>'64张卡牌'!AI7</x:f>
        <x:v>罕见</x:v>
      </x:c>
      <x:c r="F94" s="3" t="str">
        <x:f>'64张卡牌'!AJ7</x:f>
        <x:v>罕见</x:v>
      </x:c>
      <x:c r="G94" s="3" t="str">
        <x:f>'64张卡牌'!AK7</x:f>
        <x:v>罕见</x:v>
      </x:c>
    </x:row>
    <x:row r="95" ht="28" customHeight="1">
      <x:c r="A95" s="10" t="str">
        <x:v>类型</x:v>
      </x:c>
      <x:c r="B95" s="11" t="str">
        <x:f>'64张卡牌'!AF8</x:f>
        <x:v>攻击</x:v>
      </x:c>
      <x:c r="C95" s="11" t="str">
        <x:f>'64张卡牌'!AG8</x:f>
        <x:v>技能</x:v>
      </x:c>
      <x:c r="D95" s="11" t="str">
        <x:f>'64张卡牌'!AH8</x:f>
        <x:v>技能</x:v>
      </x:c>
      <x:c r="E95" s="11" t="str">
        <x:f>'64张卡牌'!AI8</x:f>
        <x:v>技能</x:v>
      </x:c>
      <x:c r="F95" s="11" t="str">
        <x:f>'64张卡牌'!AJ8</x:f>
        <x:v>技能</x:v>
      </x:c>
      <x:c r="G95" s="11" t="str">
        <x:f>'64张卡牌'!AK8</x:f>
        <x:v>技能</x:v>
      </x:c>
    </x:row>
    <x:row r="96" ht="28" customHeight="1">
      <x:c r="A96" s="10" t="str">
        <x:v>费用 · 基础</x:v>
      </x:c>
      <x:c r="B96" s="27" t="n">
        <x:f>'64张卡牌'!AF9</x:f>
        <x:v>2</x:v>
      </x:c>
      <x:c r="C96" s="27" t="n">
        <x:f>'64张卡牌'!AG9</x:f>
        <x:v>0</x:v>
      </x:c>
      <x:c r="D96" s="27" t="n">
        <x:f>'64张卡牌'!AH9</x:f>
        <x:v>1</x:v>
      </x:c>
      <x:c r="E96" s="27" t="n">
        <x:f>'64张卡牌'!AI9</x:f>
        <x:v>2</x:v>
      </x:c>
      <x:c r="F96" s="27" t="n">
        <x:f>'64张卡牌'!AJ9</x:f>
        <x:v>1</x:v>
      </x:c>
      <x:c r="G96" s="27" t="n">
        <x:f>'64张卡牌'!AK9</x:f>
        <x:v>1</x:v>
      </x:c>
    </x:row>
    <x:row r="97" ht="28" customHeight="1">
      <x:c r="A97" s="10" t="str">
        <x:v>费用 · 升级</x:v>
      </x:c>
      <x:c r="B97" s="28" t="n">
        <x:f>'64张卡牌'!AF10</x:f>
        <x:v>2</x:v>
      </x:c>
      <x:c r="C97" s="28" t="n">
        <x:f>'64张卡牌'!AG10</x:f>
        <x:v>0</x:v>
      </x:c>
      <x:c r="D97" s="28" t="n">
        <x:f>'64张卡牌'!AH10</x:f>
        <x:v>1</x:v>
      </x:c>
      <x:c r="E97" s="28" t="n">
        <x:f>'64张卡牌'!AI10</x:f>
        <x:v>2</x:v>
      </x:c>
      <x:c r="F97" s="28" t="n">
        <x:f>'64张卡牌'!AJ10</x:f>
        <x:v>1</x:v>
      </x:c>
      <x:c r="G97" s="28" t="n">
        <x:f>'64张卡牌'!AK10</x:f>
        <x:v>1</x:v>
      </x:c>
    </x:row>
    <x:row r="98" ht="44" customHeight="1">
      <x:c r="A98" s="10" t="str">
        <x:v>基础效果</x:v>
      </x:c>
      <x:c r="B98" s="3" t="str">
        <x:f>'64张卡牌'!AF11</x:f>
        <x:v>消耗最多3霜。造成12点伤害，每消耗1霜额外造成5点伤害。</x:v>
      </x:c>
      <x:c r="C98" s="3" t="str">
        <x:f>'64张卡牌'!AG11</x:f>
        <x:v>消耗2霜。抽2张牌。消耗。</x:v>
      </x:c>
      <x:c r="D98" s="3" t="str">
        <x:f>'64张卡牌'!AH11</x:f>
        <x:v>保留。从抽牌堆选1张攻击牌加入手牌。获得4点格挡。</x:v>
      </x:c>
      <x:c r="E98" s="3" t="str">
        <x:f>'64张卡牌'!AI11</x:f>
        <x:v>施加5月痕。抽1张牌。</x:v>
      </x:c>
      <x:c r="F98" s="3" t="str">
        <x:f>'64张卡牌'!AJ11</x:f>
        <x:v>对所有敌人施加2月痕。抽1张牌。</x:v>
      </x:c>
      <x:c r="G98" s="3" t="str">
        <x:f>'64张卡牌'!AK11</x:f>
        <x:v>移除目标最多3月痕；每移除1层，获得3点格挡。若移除了3层，抽1张牌。</x:v>
      </x:c>
    </x:row>
    <x:row r="99" ht="44" customHeight="1">
      <x:c r="A99" s="10" t="str">
        <x:v>升级后完整效果</x:v>
      </x:c>
      <x:c r="B99" s="11" t="str">
        <x:f>'64张卡牌'!AF12</x:f>
        <x:v>消耗最多3霜。造成16点伤害，每消耗1霜额外造成5点伤害。</x:v>
      </x:c>
      <x:c r="C99" s="11" t="str">
        <x:f>'64张卡牌'!AG12</x:f>
        <x:v>消耗2霜。抽3张牌。消耗。</x:v>
      </x:c>
      <x:c r="D99" s="11" t="str">
        <x:f>'64张卡牌'!AH12</x:f>
        <x:v>保留。从抽牌堆选1张攻击牌加入手牌。获得7点格挡。</x:v>
      </x:c>
      <x:c r="E99" s="11" t="str">
        <x:f>'64张卡牌'!AI12</x:f>
        <x:v>施加6月痕。抽1张牌。</x:v>
      </x:c>
      <x:c r="F99" s="11" t="str">
        <x:f>'64张卡牌'!AJ12</x:f>
        <x:v>对所有敌人施加3月痕。抽1张牌。</x:v>
      </x:c>
      <x:c r="G99" s="11" t="str">
        <x:f>'64张卡牌'!AK12</x:f>
        <x:v>移除目标最多3月痕；每移除1层，获得4点格挡。若移除了3层，抽1张牌。</x:v>
      </x:c>
    </x:row>
    <x:row r="100" ht="28" customHeight="1">
      <x:c r="A100" s="20" t="str">
        <x:v>升级改动</x:v>
      </x:c>
      <x:c r="B100" s="21" t="str">
        <x:f>'64张卡牌'!AF13</x:f>
        <x:v>基础伤害12→16</x:v>
      </x:c>
      <x:c r="C100" s="21" t="str">
        <x:f>'64张卡牌'!AG13</x:f>
        <x:v>抽牌2→3</x:v>
      </x:c>
      <x:c r="D100" s="21" t="str">
        <x:f>'64张卡牌'!AH13</x:f>
        <x:v>格挡4→7</x:v>
      </x:c>
      <x:c r="E100" s="21" t="str">
        <x:f>'64张卡牌'!AI13</x:f>
        <x:v>月痕5→6</x:v>
      </x:c>
      <x:c r="F100" s="21" t="str">
        <x:f>'64张卡牌'!AJ13</x:f>
        <x:v>群体月痕2→3</x:v>
      </x:c>
      <x:c r="G100" s="21" t="str">
        <x:f>'64张卡牌'!AK13</x:f>
        <x:v>每层格挡3→4</x:v>
      </x:c>
    </x:row>
    <x:row r="101" ht="28" customHeight="1">
      <x:c r="A101" s="10" t="str">
        <x:v>机制</x:v>
      </x:c>
      <x:c r="B101" s="11" t="str">
        <x:f>'64张卡牌'!AF14</x:f>
        <x:v>霜、消耗</x:v>
      </x:c>
      <x:c r="C101" s="11" t="str">
        <x:f>'64张卡牌'!AG14</x:f>
        <x:v>霜、消耗、抽</x:v>
      </x:c>
      <x:c r="D101" s="11" t="str">
        <x:f>'64张卡牌'!AH14</x:f>
        <x:v>保留、抽</x:v>
      </x:c>
      <x:c r="E101" s="11" t="str">
        <x:f>'64张卡牌'!AI14</x:f>
        <x:v>月痕、抽</x:v>
      </x:c>
      <x:c r="F101" s="11" t="str">
        <x:f>'64张卡牌'!AJ14</x:f>
        <x:v>月痕、抽</x:v>
      </x:c>
      <x:c r="G101" s="11" t="str">
        <x:f>'64张卡牌'!AK14</x:f>
        <x:v>月痕、抽</x:v>
      </x:c>
    </x:row>
    <x:row r="102" ht="28" customHeight="1">
      <x:c r="A102" s="10" t="str">
        <x:v>设计职责</x:v>
      </x:c>
      <x:c r="B102" s="3" t="str">
        <x:f>'64张卡牌'!AF15</x:f>
        <x:v>霜的集中兑现</x:v>
      </x:c>
      <x:c r="C102" s="3" t="str">
        <x:f>'64张卡牌'!AG15</x:f>
        <x:v>霜换抽牌</x:v>
      </x:c>
      <x:c r="D102" s="3" t="str">
        <x:f>'64张卡牌'!AH15</x:f>
        <x:v>攻击检索／防御</x:v>
      </x:c>
      <x:c r="E102" s="3" t="str">
        <x:f>'64张卡牌'!AI15</x:f>
        <x:v>高密度叠层</x:v>
      </x:c>
      <x:c r="F102" s="3" t="str">
        <x:f>'64张卡牌'!AJ15</x:f>
        <x:v>群体铺层／过牌</x:v>
      </x:c>
      <x:c r="G102" s="3" t="str">
        <x:f>'64张卡牌'!AK15</x:f>
        <x:v>月痕换防御</x:v>
      </x:c>
    </x:row>
    <x:row r="103" ht="28" customHeight="1">
      <x:c r="A103" s="10" t="str">
        <x:v>适配方向</x:v>
      </x:c>
      <x:c r="B103" s="11" t="str">
        <x:f>'64张卡牌'!AF16</x:f>
        <x:v>冰爆、血月</x:v>
      </x:c>
      <x:c r="C103" s="11" t="str">
        <x:f>'64张卡牌'!AG16</x:f>
        <x:v>控霜、冰爆、切换</x:v>
      </x:c>
      <x:c r="D103" s="11" t="str">
        <x:f>'64张卡牌'!AH16</x:f>
        <x:v>冰爆、血月、泛用</x:v>
      </x:c>
      <x:c r="E103" s="11" t="str">
        <x:f>'64张卡牌'!AI16</x:f>
        <x:v>月蚀、切换</x:v>
      </x:c>
      <x:c r="F103" s="11" t="str">
        <x:f>'64张卡牌'!AJ16</x:f>
        <x:v>月蚀、切换</x:v>
      </x:c>
      <x:c r="G103" s="11" t="str">
        <x:f>'64张卡牌'!AK16</x:f>
        <x:v>月蚀、血月</x:v>
      </x:c>
    </x:row>
    <x:row r="104" ht="44" customHeight="1">
      <x:c r="A104" s="10" t="str">
        <x:v>时序／审阅重点</x:v>
      </x:c>
      <x:c r="B104" s="3" t="str">
        <x:f>'64张卡牌'!AF17</x:f>
        <x:v>满额基础伤害27→31；血月下54→62，再计目标格挡与修正。</x:v>
      </x:c>
      <x:c r="C104" s="3" t="str">
        <x:f>'64张卡牌'!AG17</x:f>
        <x:v>霜不足2不可打出；消耗保证单副本不能成为零费永久抽牌环。</x:v>
      </x:c>
      <x:c r="D104" s="3" t="str">
        <x:f>'64张卡牌'!AH17</x:f>
        <x:v>检索不等于抽牌，不触发抽到事件；没有攻击牌时仅获得格挡。</x:v>
      </x:c>
      <x:c r="E104" s="3" t="str">
        <x:f>'64张卡牌'!AI17</x:f>
        <x:v>升级改变与其他产痕牌拼到8层的组合，不降低费用。</x:v>
      </x:c>
      <x:c r="F104" s="3" t="str">
        <x:f>'64张卡牌'!AJ17</x:f>
        <x:v>多目标时价值更高；人工制品按各目标分别处理。</x:v>
      </x:c>
      <x:c r="G104" s="3" t="str">
        <x:f>'64张卡牌'!AK17</x:f>
        <x:v>月痕不足也可少量兑现；不会因此触发月蚀或月蚀回报。</x:v>
      </x:c>
    </x:row>
    <x:row r="105" ht="28" customHeight="1">
      <x:c r="A105" s="10" t="str">
        <x:v>实现批次</x:v>
      </x:c>
      <x:c r="B105" s="11" t="str">
        <x:f>'64张卡牌'!AF18</x:f>
        <x:v>完整卡池候选</x:v>
      </x:c>
      <x:c r="C105" s="11" t="str">
        <x:f>'64张卡牌'!AG18</x:f>
        <x:v>完整卡池候选</x:v>
      </x:c>
      <x:c r="D105" s="11" t="str">
        <x:f>'64张卡牌'!AH18</x:f>
        <x:v>完整卡池候选</x:v>
      </x:c>
      <x:c r="E105" s="11" t="str">
        <x:f>'64张卡牌'!AI18</x:f>
        <x:v>完整卡池候选</x:v>
      </x:c>
      <x:c r="F105" s="11" t="str">
        <x:f>'64张卡牌'!AJ18</x:f>
        <x:v>完整卡池候选</x:v>
      </x:c>
      <x:c r="G105" s="11" t="str">
        <x:f>'64张卡牌'!AK18</x:f>
        <x:v>完整卡池候选</x:v>
      </x:c>
    </x:row>
    <x:row r="108" ht="28" customHeight="1">
      <x:c r="A108" s="26" t="str">
        <x:v>卡牌 37—42  ·  U13 至 U18</x:v>
      </x:c>
      <x:c r="B108" s="24"/>
      <x:c r="C108" s="24"/>
      <x:c r="D108" s="24"/>
      <x:c r="E108" s="24"/>
      <x:c r="F108" s="24"/>
      <x:c r="G108" s="24"/>
    </x:row>
    <x:row r="109" ht="32" customHeight="1">
      <x:c r="A109" s="15" t="str">
        <x:v>卡牌名</x:v>
      </x:c>
      <x:c r="B109" s="15" t="str">
        <x:f>'64张卡牌'!AL5</x:f>
        <x:v>残月斩</x:v>
      </x:c>
      <x:c r="C109" s="15" t="str">
        <x:f>'64张卡牌'!AM5</x:f>
        <x:v>寒月</x:v>
      </x:c>
      <x:c r="D109" s="15" t="str">
        <x:f>'64张卡牌'!AN5</x:f>
        <x:v>两仪</x:v>
      </x:c>
      <x:c r="E109" s="15" t="str">
        <x:f>'64张卡牌'!AO5</x:f>
        <x:v>雪夜回响</x:v>
      </x:c>
      <x:c r="F109" s="15" t="str">
        <x:f>'64张卡牌'!AP5</x:f>
        <x:v>灼脉</x:v>
      </x:c>
      <x:c r="G109" s="15" t="str">
        <x:f>'64张卡牌'!AQ5</x:f>
        <x:v>回春</x:v>
      </x:c>
    </x:row>
    <x:row r="110" ht="28" customHeight="1">
      <x:c r="A110" s="10" t="str">
        <x:v>ID</x:v>
      </x:c>
      <x:c r="B110" s="11" t="str">
        <x:f>'64张卡牌'!AL6</x:f>
        <x:v>U13</x:v>
      </x:c>
      <x:c r="C110" s="11" t="str">
        <x:f>'64张卡牌'!AM6</x:f>
        <x:v>U14</x:v>
      </x:c>
      <x:c r="D110" s="11" t="str">
        <x:f>'64张卡牌'!AN6</x:f>
        <x:v>U15</x:v>
      </x:c>
      <x:c r="E110" s="11" t="str">
        <x:f>'64张卡牌'!AO6</x:f>
        <x:v>U16</x:v>
      </x:c>
      <x:c r="F110" s="11" t="str">
        <x:f>'64张卡牌'!AP6</x:f>
        <x:v>U17</x:v>
      </x:c>
      <x:c r="G110" s="11" t="str">
        <x:f>'64张卡牌'!AQ6</x:f>
        <x:v>U18</x:v>
      </x:c>
    </x:row>
    <x:row r="111" ht="28" customHeight="1">
      <x:c r="A111" s="10" t="str">
        <x:v>稀有度</x:v>
      </x:c>
      <x:c r="B111" s="3" t="str">
        <x:f>'64张卡牌'!AL7</x:f>
        <x:v>罕见</x:v>
      </x:c>
      <x:c r="C111" s="3" t="str">
        <x:f>'64张卡牌'!AM7</x:f>
        <x:v>罕见</x:v>
      </x:c>
      <x:c r="D111" s="3" t="str">
        <x:f>'64张卡牌'!AN7</x:f>
        <x:v>罕见</x:v>
      </x:c>
      <x:c r="E111" s="3" t="str">
        <x:f>'64张卡牌'!AO7</x:f>
        <x:v>罕见</x:v>
      </x:c>
      <x:c r="F111" s="3" t="str">
        <x:f>'64张卡牌'!AP7</x:f>
        <x:v>罕见</x:v>
      </x:c>
      <x:c r="G111" s="3" t="str">
        <x:f>'64张卡牌'!AQ7</x:f>
        <x:v>罕见</x:v>
      </x:c>
    </x:row>
    <x:row r="112" ht="28" customHeight="1">
      <x:c r="A112" s="10" t="str">
        <x:v>类型</x:v>
      </x:c>
      <x:c r="B112" s="11" t="str">
        <x:f>'64张卡牌'!AL8</x:f>
        <x:v>攻击</x:v>
      </x:c>
      <x:c r="C112" s="11" t="str">
        <x:f>'64张卡牌'!AM8</x:f>
        <x:v>攻击</x:v>
      </x:c>
      <x:c r="D112" s="11" t="str">
        <x:f>'64张卡牌'!AN8</x:f>
        <x:v>技能</x:v>
      </x:c>
      <x:c r="E112" s="11" t="str">
        <x:f>'64张卡牌'!AO8</x:f>
        <x:v>技能</x:v>
      </x:c>
      <x:c r="F112" s="11" t="str">
        <x:f>'64张卡牌'!AP8</x:f>
        <x:v>技能</x:v>
      </x:c>
      <x:c r="G112" s="11" t="str">
        <x:f>'64张卡牌'!AQ8</x:f>
        <x:v>技能</x:v>
      </x:c>
    </x:row>
    <x:row r="113" ht="28" customHeight="1">
      <x:c r="A113" s="10" t="str">
        <x:v>费用 · 基础</x:v>
      </x:c>
      <x:c r="B113" s="27" t="n">
        <x:f>'64张卡牌'!AL9</x:f>
        <x:v>1</x:v>
      </x:c>
      <x:c r="C113" s="27" t="n">
        <x:f>'64张卡牌'!AM9</x:f>
        <x:v>2</x:v>
      </x:c>
      <x:c r="D113" s="27" t="n">
        <x:f>'64张卡牌'!AN9</x:f>
        <x:v>1</x:v>
      </x:c>
      <x:c r="E113" s="27" t="n">
        <x:f>'64张卡牌'!AO9</x:f>
        <x:v>1</x:v>
      </x:c>
      <x:c r="F113" s="27" t="n">
        <x:f>'64张卡牌'!AP9</x:f>
        <x:v>0</x:v>
      </x:c>
      <x:c r="G113" s="27" t="n">
        <x:f>'64张卡牌'!AQ9</x:f>
        <x:v>1</x:v>
      </x:c>
    </x:row>
    <x:row r="114" ht="28" customHeight="1">
      <x:c r="A114" s="10" t="str">
        <x:v>费用 · 升级</x:v>
      </x:c>
      <x:c r="B114" s="28" t="n">
        <x:f>'64张卡牌'!AL10</x:f>
        <x:v>1</x:v>
      </x:c>
      <x:c r="C114" s="28" t="n">
        <x:f>'64张卡牌'!AM10</x:f>
        <x:v>2</x:v>
      </x:c>
      <x:c r="D114" s="28" t="n">
        <x:f>'64张卡牌'!AN10</x:f>
        <x:v>1</x:v>
      </x:c>
      <x:c r="E114" s="28" t="n">
        <x:f>'64张卡牌'!AO10</x:f>
        <x:v>1</x:v>
      </x:c>
      <x:c r="F114" s="28" t="n">
        <x:f>'64张卡牌'!AP10</x:f>
        <x:v>0</x:v>
      </x:c>
      <x:c r="G114" s="28" t="n">
        <x:f>'64张卡牌'!AQ10</x:f>
        <x:v>1</x:v>
      </x:c>
    </x:row>
    <x:row r="115" ht="76" customHeight="1">
      <x:c r="A115" s="10" t="str">
        <x:v>基础效果</x:v>
      </x:c>
      <x:c r="B115" s="3" t="str">
        <x:f>'64张卡牌'!AL11</x:f>
        <x:v>移除目标最多3月痕。造成4点伤害，每移除1层额外造成4点伤害。</x:v>
      </x:c>
      <x:c r="C115" s="3" t="str">
        <x:f>'64张卡牌'!AM11</x:f>
        <x:v>造成12点伤害。施加2月痕。结算结束时，若本牌触发过月蚀，获得2霜并回生2。</x:v>
      </x:c>
      <x:c r="D115" s="3" t="str">
        <x:f>'64张卡牌'!AN11</x:f>
        <x:v>按开始形态执行。冰：获得8格挡、施加2月痕，进入月。月：回生3、获得2霜，进入冰。血月：获得8格挡并回生3，保持血月。</x:v>
      </x:c>
      <x:c r="E115" s="3" t="str">
        <x:f>'64张卡牌'!AO11</x:f>
        <x:v>从弃牌堆选1张牌加入手牌，并在本次回合结束时保留。消耗。</x:v>
      </x:c>
      <x:c r="F115" s="3" t="str">
        <x:f>'64张卡牌'!AP11</x:f>
        <x:v>支付4生命。获得1能量。抽1张牌。消耗。</x:v>
      </x:c>
      <x:c r="G115" s="3" t="str">
        <x:f>'64张卡牌'!AQ11</x:f>
        <x:v>恢复4生命。消耗。</x:v>
      </x:c>
    </x:row>
    <x:row r="116" ht="76" customHeight="1">
      <x:c r="A116" s="10" t="str">
        <x:v>升级后完整效果</x:v>
      </x:c>
      <x:c r="B116" s="11" t="str">
        <x:f>'64张卡牌'!AL12</x:f>
        <x:v>移除目标最多3月痕。造成7点伤害，每移除1层额外造成4点伤害。</x:v>
      </x:c>
      <x:c r="C116" s="11" t="str">
        <x:f>'64张卡牌'!AM12</x:f>
        <x:v>造成16点伤害。施加2月痕。结算结束时，若本牌触发过月蚀，获得2霜并回生2。</x:v>
      </x:c>
      <x:c r="D116" s="11" t="str">
        <x:f>'64张卡牌'!AN12</x:f>
        <x:v>按开始形态执行。冰：获得11格挡、施加2月痕，进入月。月：回生4、获得2霜，进入冰。血月：获得11格挡并回生4，保持血月。</x:v>
      </x:c>
      <x:c r="E116" s="11" t="str">
        <x:f>'64张卡牌'!AO12</x:f>
        <x:v>从弃牌堆选2张牌加入手牌，并在本次回合结束时保留。消耗。</x:v>
      </x:c>
      <x:c r="F116" s="11" t="str">
        <x:f>'64张卡牌'!AP12</x:f>
        <x:v>支付4生命。获得1能量。抽2张牌。消耗。</x:v>
      </x:c>
      <x:c r="G116" s="11" t="str">
        <x:f>'64张卡牌'!AQ12</x:f>
        <x:v>恢复6生命。消耗。</x:v>
      </x:c>
    </x:row>
    <x:row r="117" ht="28" customHeight="1">
      <x:c r="A117" s="20" t="str">
        <x:v>升级改动</x:v>
      </x:c>
      <x:c r="B117" s="21" t="str">
        <x:f>'64张卡牌'!AL13</x:f>
        <x:v>基础伤害4→7</x:v>
      </x:c>
      <x:c r="C117" s="21" t="str">
        <x:f>'64张卡牌'!AM13</x:f>
        <x:v>伤害12→16</x:v>
      </x:c>
      <x:c r="D117" s="21" t="str">
        <x:f>'64张卡牌'!AN13</x:f>
        <x:v>格挡8→11；回生3→4</x:v>
      </x:c>
      <x:c r="E117" s="21" t="str">
        <x:f>'64张卡牌'!AO13</x:f>
        <x:v>回收1→2张</x:v>
      </x:c>
      <x:c r="F117" s="21" t="str">
        <x:f>'64张卡牌'!AP13</x:f>
        <x:v>抽牌1→2</x:v>
      </x:c>
      <x:c r="G117" s="21" t="str">
        <x:f>'64张卡牌'!AQ13</x:f>
        <x:v>真正治疗4→6</x:v>
      </x:c>
    </x:row>
    <x:row r="118" ht="28" customHeight="1">
      <x:c r="A118" s="10" t="str">
        <x:v>机制</x:v>
      </x:c>
      <x:c r="B118" s="11" t="str">
        <x:f>'64张卡牌'!AL14</x:f>
        <x:v>月痕</x:v>
      </x:c>
      <x:c r="C118" s="11" t="str">
        <x:f>'64张卡牌'!AM14</x:f>
        <x:v>霜、月痕、月蚀、回生</x:v>
      </x:c>
      <x:c r="D118" s="11" t="str">
        <x:f>'64张卡牌'!AN14</x:f>
        <x:v>霜、月痕、回生、进入</x:v>
      </x:c>
      <x:c r="E118" s="11" t="str">
        <x:f>'64张卡牌'!AO14</x:f>
        <x:v>保留、消耗</x:v>
      </x:c>
      <x:c r="F118" s="11" t="str">
        <x:f>'64张卡牌'!AP14</x:f>
        <x:v>支付、消耗、抽</x:v>
      </x:c>
      <x:c r="G118" s="11" t="str">
        <x:f>'64张卡牌'!AQ14</x:f>
        <x:v>恢复、消耗</x:v>
      </x:c>
    </x:row>
    <x:row r="119" ht="28" customHeight="1">
      <x:c r="A119" s="10" t="str">
        <x:v>设计职责</x:v>
      </x:c>
      <x:c r="B119" s="3" t="str">
        <x:f>'64张卡牌'!AL15</x:f>
        <x:v>月痕换攻击</x:v>
      </x:c>
      <x:c r="C119" s="3" t="str">
        <x:f>'64张卡牌'!AM15</x:f>
        <x:v>引爆后返资源</x:v>
      </x:c>
      <x:c r="D119" s="3" t="str">
        <x:f>'64张卡牌'!AN15</x:f>
        <x:v>双向桥梁／血月守护</x:v>
      </x:c>
      <x:c r="E119" s="3" t="str">
        <x:f>'64张卡牌'!AO15</x:f>
        <x:v>定向回收／跨回合准备</x:v>
      </x:c>
      <x:c r="F119" s="3" t="str">
        <x:f>'64张卡牌'!AP15</x:f>
        <x:v>付血换行动</x:v>
      </x:c>
      <x:c r="G119" s="3" t="str">
        <x:f>'64张卡牌'!AQ15</x:f>
        <x:v>治疗敌伤／重新蓄势</x:v>
      </x:c>
    </x:row>
    <x:row r="120" ht="28" customHeight="1">
      <x:c r="A120" s="10" t="str">
        <x:v>适配方向</x:v>
      </x:c>
      <x:c r="B120" s="11" t="str">
        <x:f>'64张卡牌'!AL16</x:f>
        <x:v>月蚀、血月</x:v>
      </x:c>
      <x:c r="C120" s="11" t="str">
        <x:f>'64张卡牌'!AM16</x:f>
        <x:v>冰爆、月蚀、切换</x:v>
      </x:c>
      <x:c r="D120" s="11" t="str">
        <x:f>'64张卡牌'!AN16</x:f>
        <x:v>切换、月蚀、血月</x:v>
      </x:c>
      <x:c r="E120" s="11" t="str">
        <x:f>'64张卡牌'!AO16</x:f>
        <x:v>切换、冰爆、血月</x:v>
      </x:c>
      <x:c r="F120" s="11" t="str">
        <x:f>'64张卡牌'!AP16</x:f>
        <x:v>血月、泛用</x:v>
      </x:c>
      <x:c r="G120" s="11" t="str">
        <x:f>'64张卡牌'!AQ16</x:f>
        <x:v>泛用、血月</x:v>
      </x:c>
    </x:row>
    <x:row r="121" ht="44" customHeight="1">
      <x:c r="A121" s="10" t="str">
        <x:v>时序／审阅重点</x:v>
      </x:c>
      <x:c r="B121" s="3" t="str">
        <x:f>'64张卡牌'!AL17</x:f>
        <x:v>可以放弃后续月蚀换即时斩杀；月被动在本牌结束前再补月痕。</x:v>
      </x:c>
      <x:c r="C121" s="3" t="str">
        <x:f>'64张卡牌'!AM17</x:f>
        <x:v>包括本牌的月被动附加月痕；同牌触发多次月蚀也只返还一次。</x:v>
      </x:c>
      <x:c r="D121" s="3" t="str">
        <x:f>'64张卡牌'!AN17</x:f>
        <x:v>只执行一个分支；血月分支是少量专属变化之一，不让全卡池都写三套描述。</x:v>
      </x:c>
      <x:c r="E121" s="3" t="str">
        <x:f>'64张卡牌'!AO17</x:f>
        <x:v>不可回收正在结算的自己或消耗堆的牌；不改变被回收牌的费用。</x:v>
      </x:c>
      <x:c r="F121" s="3" t="str">
        <x:f>'64张卡牌'!AP17</x:f>
        <x:v>生命须能全额非致命支付；本牌之后才可能进入血月。</x:v>
      </x:c>
      <x:c r="G121" s="3" t="str">
        <x:f>'64张卡牌'!AQ17</x:f>
        <x:v>是真正治疗，可超过可回收额度；实际恢复仍会先冲销可回收生命。</x:v>
      </x:c>
    </x:row>
    <x:row r="122" ht="28" customHeight="1">
      <x:c r="A122" s="10" t="str">
        <x:v>实现批次</x:v>
      </x:c>
      <x:c r="B122" s="11" t="str">
        <x:f>'64张卡牌'!AL18</x:f>
        <x:v>完整卡池候选</x:v>
      </x:c>
      <x:c r="C122" s="11" t="str">
        <x:f>'64张卡牌'!AM18</x:f>
        <x:v>优先实现</x:v>
      </x:c>
      <x:c r="D122" s="11" t="str">
        <x:f>'64张卡牌'!AN18</x:f>
        <x:v>完整卡池候选</x:v>
      </x:c>
      <x:c r="E122" s="11" t="str">
        <x:f>'64张卡牌'!AO18</x:f>
        <x:v>完整卡池候选</x:v>
      </x:c>
      <x:c r="F122" s="11" t="str">
        <x:f>'64张卡牌'!AP18</x:f>
        <x:v>完整卡池候选</x:v>
      </x:c>
      <x:c r="G122" s="11" t="str">
        <x:f>'64张卡牌'!AQ18</x:f>
        <x:v>完整卡池候选</x:v>
      </x:c>
    </x:row>
    <x:row r="125" ht="28" customHeight="1">
      <x:c r="A125" s="26" t="str">
        <x:v>卡牌 43—48  ·  U19 至 U24</x:v>
      </x:c>
      <x:c r="B125" s="24"/>
      <x:c r="C125" s="24"/>
      <x:c r="D125" s="24"/>
      <x:c r="E125" s="24"/>
      <x:c r="F125" s="24"/>
      <x:c r="G125" s="24"/>
    </x:row>
    <x:row r="126" ht="32" customHeight="1">
      <x:c r="A126" s="15" t="str">
        <x:v>卡牌名</x:v>
      </x:c>
      <x:c r="B126" s="15" t="str">
        <x:f>'64张卡牌'!AR5</x:f>
        <x:v>寒浴</x:v>
      </x:c>
      <x:c r="C126" s="15" t="str">
        <x:f>'64张卡牌'!AS5</x:f>
        <x:v>刺骨</x:v>
      </x:c>
      <x:c r="D126" s="15" t="str">
        <x:f>'64张卡牌'!AT5</x:f>
        <x:v>留灯</x:v>
      </x:c>
      <x:c r="E126" s="15" t="str">
        <x:f>'64张卡牌'!AU5</x:f>
        <x:v>血线</x:v>
      </x:c>
      <x:c r="F126" s="15" t="str">
        <x:f>'64张卡牌'!AV5</x:f>
        <x:v>悬月</x:v>
      </x:c>
      <x:c r="G126" s="15" t="str">
        <x:f>'64张卡牌'!AW5</x:f>
        <x:v>霜囊</x:v>
      </x:c>
    </x:row>
    <x:row r="127" ht="28" customHeight="1">
      <x:c r="A127" s="10" t="str">
        <x:v>ID</x:v>
      </x:c>
      <x:c r="B127" s="11" t="str">
        <x:f>'64张卡牌'!AR6</x:f>
        <x:v>U19</x:v>
      </x:c>
      <x:c r="C127" s="11" t="str">
        <x:f>'64张卡牌'!AS6</x:f>
        <x:v>U20</x:v>
      </x:c>
      <x:c r="D127" s="11" t="str">
        <x:f>'64张卡牌'!AT6</x:f>
        <x:v>U21</x:v>
      </x:c>
      <x:c r="E127" s="11" t="str">
        <x:f>'64张卡牌'!AU6</x:f>
        <x:v>U22</x:v>
      </x:c>
      <x:c r="F127" s="11" t="str">
        <x:f>'64张卡牌'!AV6</x:f>
        <x:v>U23</x:v>
      </x:c>
      <x:c r="G127" s="11" t="str">
        <x:f>'64张卡牌'!AW6</x:f>
        <x:v>U24</x:v>
      </x:c>
    </x:row>
    <x:row r="128" ht="28" customHeight="1">
      <x:c r="A128" s="10" t="str">
        <x:v>稀有度</x:v>
      </x:c>
      <x:c r="B128" s="3" t="str">
        <x:f>'64张卡牌'!AR7</x:f>
        <x:v>罕见</x:v>
      </x:c>
      <x:c r="C128" s="3" t="str">
        <x:f>'64张卡牌'!AS7</x:f>
        <x:v>罕见</x:v>
      </x:c>
      <x:c r="D128" s="3" t="str">
        <x:f>'64张卡牌'!AT7</x:f>
        <x:v>罕见</x:v>
      </x:c>
      <x:c r="E128" s="3" t="str">
        <x:f>'64张卡牌'!AU7</x:f>
        <x:v>罕见</x:v>
      </x:c>
      <x:c r="F128" s="3" t="str">
        <x:f>'64张卡牌'!AV7</x:f>
        <x:v>罕见</x:v>
      </x:c>
      <x:c r="G128" s="3" t="str">
        <x:f>'64张卡牌'!AW7</x:f>
        <x:v>罕见</x:v>
      </x:c>
    </x:row>
    <x:row r="129" ht="28" customHeight="1">
      <x:c r="A129" s="10" t="str">
        <x:v>类型</x:v>
      </x:c>
      <x:c r="B129" s="11" t="str">
        <x:f>'64张卡牌'!AR8</x:f>
        <x:v>技能</x:v>
      </x:c>
      <x:c r="C129" s="11" t="str">
        <x:f>'64张卡牌'!AS8</x:f>
        <x:v>能力</x:v>
      </x:c>
      <x:c r="D129" s="11" t="str">
        <x:f>'64张卡牌'!AT8</x:f>
        <x:v>技能</x:v>
      </x:c>
      <x:c r="E129" s="11" t="str">
        <x:f>'64张卡牌'!AU8</x:f>
        <x:v>攻击</x:v>
      </x:c>
      <x:c r="F129" s="11" t="str">
        <x:f>'64张卡牌'!AV8</x:f>
        <x:v>能力</x:v>
      </x:c>
      <x:c r="G129" s="11" t="str">
        <x:f>'64张卡牌'!AW8</x:f>
        <x:v>能力</x:v>
      </x:c>
    </x:row>
    <x:row r="130" ht="28" customHeight="1">
      <x:c r="A130" s="10" t="str">
        <x:v>费用 · 基础</x:v>
      </x:c>
      <x:c r="B130" s="27" t="n">
        <x:f>'64张卡牌'!AR9</x:f>
        <x:v>1</x:v>
      </x:c>
      <x:c r="C130" s="27" t="n">
        <x:f>'64张卡牌'!AS9</x:f>
        <x:v>1</x:v>
      </x:c>
      <x:c r="D130" s="27" t="n">
        <x:f>'64张卡牌'!AT9</x:f>
        <x:v>1</x:v>
      </x:c>
      <x:c r="E130" s="27" t="n">
        <x:f>'64张卡牌'!AU9</x:f>
        <x:v>1</x:v>
      </x:c>
      <x:c r="F130" s="27" t="n">
        <x:f>'64张卡牌'!AV9</x:f>
        <x:v>1</x:v>
      </x:c>
      <x:c r="G130" s="27" t="n">
        <x:f>'64张卡牌'!AW9</x:f>
        <x:v>1</x:v>
      </x:c>
    </x:row>
    <x:row r="131" ht="28" customHeight="1">
      <x:c r="A131" s="10" t="str">
        <x:v>费用 · 升级</x:v>
      </x:c>
      <x:c r="B131" s="28" t="n">
        <x:f>'64张卡牌'!AR10</x:f>
        <x:v>1</x:v>
      </x:c>
      <x:c r="C131" s="28" t="n">
        <x:f>'64张卡牌'!AS10</x:f>
        <x:v>0</x:v>
      </x:c>
      <x:c r="D131" s="28" t="n">
        <x:f>'64张卡牌'!AT10</x:f>
        <x:v>1</x:v>
      </x:c>
      <x:c r="E131" s="28" t="n">
        <x:f>'64张卡牌'!AU10</x:f>
        <x:v>1</x:v>
      </x:c>
      <x:c r="F131" s="28" t="n">
        <x:f>'64张卡牌'!AV10</x:f>
        <x:v>1</x:v>
      </x:c>
      <x:c r="G131" s="28" t="n">
        <x:f>'64张卡牌'!AW10</x:f>
        <x:v>1</x:v>
      </x:c>
    </x:row>
    <x:row r="132" ht="60" customHeight="1">
      <x:c r="A132" s="10" t="str">
        <x:v>基础效果</x:v>
      </x:c>
      <x:c r="B132" s="3" t="str">
        <x:f>'64张卡牌'!AR11</x:f>
        <x:v>获得5点格挡。回生6。</x:v>
      </x:c>
      <x:c r="C132" s="3" t="str">
        <x:f>'64张卡牌'!AS11</x:f>
        <x:v>每回合首次主动支付生命后，获得3点格挡并抽1张牌。</x:v>
      </x:c>
      <x:c r="D132" s="3" t="str">
        <x:f>'64张卡牌'!AT11</x:f>
        <x:v>获得7点格挡。若本回合曾主动支付生命，抽1张牌。</x:v>
      </x:c>
      <x:c r="E132" s="3" t="str">
        <x:f>'64张卡牌'!AU11</x:f>
        <x:v>选择支付0、2或4生命。造成7点伤害，每点本次选择支付的生命额外造成2点伤害。</x:v>
      </x:c>
      <x:c r="F132" s="3" t="str">
        <x:f>'64张卡牌'!AV11</x:f>
        <x:v>每回合首次月蚀结算结束后，将1张月屑加入手牌。</x:v>
      </x:c>
      <x:c r="G132" s="3" t="str">
        <x:f>'64张卡牌'!AW11</x:f>
        <x:v>霜上限增加2。回合结束时，若至少有6霜，获得4点格挡。</x:v>
      </x:c>
    </x:row>
    <x:row r="133" ht="60" customHeight="1">
      <x:c r="A133" s="10" t="str">
        <x:v>升级后完整效果</x:v>
      </x:c>
      <x:c r="B133" s="11" t="str">
        <x:f>'64张卡牌'!AR12</x:f>
        <x:v>获得8点格挡。回生8。</x:v>
      </x:c>
      <x:c r="C133" s="11" t="str">
        <x:f>'64张卡牌'!AS12</x:f>
        <x:v>每回合首次主动支付生命后，获得3点格挡并抽1张牌。</x:v>
      </x:c>
      <x:c r="D133" s="11" t="str">
        <x:f>'64张卡牌'!AT12</x:f>
        <x:v>获得10点格挡。若本回合曾主动支付生命，抽1张牌。</x:v>
      </x:c>
      <x:c r="E133" s="11" t="str">
        <x:f>'64张卡牌'!AU12</x:f>
        <x:v>选择支付0、2或4生命。造成10点伤害，每点本次选择支付的生命额外造成2点伤害。</x:v>
      </x:c>
      <x:c r="F133" s="11" t="str">
        <x:f>'64张卡牌'!AV12</x:f>
        <x:v>每回合首次月蚀结算结束后，将1张月屑+加入手牌。</x:v>
      </x:c>
      <x:c r="G133" s="11" t="str">
        <x:f>'64张卡牌'!AW12</x:f>
        <x:v>霜上限增加3。回合结束时，若至少有6霜，获得4点格挡。</x:v>
      </x:c>
    </x:row>
    <x:row r="134" ht="28" customHeight="1">
      <x:c r="A134" s="20" t="str">
        <x:v>升级改动</x:v>
      </x:c>
      <x:c r="B134" s="21" t="str">
        <x:f>'64张卡牌'!AR13</x:f>
        <x:v>格挡5→8；回生6→8</x:v>
      </x:c>
      <x:c r="C134" s="21" t="str">
        <x:f>'64张卡牌'!AS13</x:f>
        <x:v>费用1→0</x:v>
      </x:c>
      <x:c r="D134" s="21" t="str">
        <x:f>'64张卡牌'!AT13</x:f>
        <x:v>格挡7→10</x:v>
      </x:c>
      <x:c r="E134" s="21" t="str">
        <x:f>'64张卡牌'!AU13</x:f>
        <x:v>基础伤害7→10</x:v>
      </x:c>
      <x:c r="F134" s="21" t="str">
        <x:f>'64张卡牌'!AV13</x:f>
        <x:v>生成月屑→月屑+</x:v>
      </x:c>
      <x:c r="G134" s="21" t="str">
        <x:f>'64张卡牌'!AW13</x:f>
        <x:v>霜上限+2→+3</x:v>
      </x:c>
    </x:row>
    <x:row r="135" ht="28" customHeight="1">
      <x:c r="A135" s="10" t="str">
        <x:v>机制</x:v>
      </x:c>
      <x:c r="B135" s="11" t="str">
        <x:f>'64张卡牌'!AR14</x:f>
        <x:v>回生</x:v>
      </x:c>
      <x:c r="C135" s="11" t="str">
        <x:f>'64张卡牌'!AS14</x:f>
        <x:v>支付、抽</x:v>
      </x:c>
      <x:c r="D135" s="11" t="str">
        <x:f>'64张卡牌'!AT14</x:f>
        <x:v>支付、抽</x:v>
      </x:c>
      <x:c r="E135" s="11" t="str">
        <x:f>'64张卡牌'!AU14</x:f>
        <x:v>支付</x:v>
      </x:c>
      <x:c r="F135" s="11" t="str">
        <x:f>'64张卡牌'!AV14</x:f>
        <x:v>月蚀</x:v>
      </x:c>
      <x:c r="G135" s="11" t="str">
        <x:f>'64张卡牌'!AW14</x:f>
        <x:v>霜</x:v>
      </x:c>
    </x:row>
    <x:row r="136" ht="28" customHeight="1">
      <x:c r="A136" s="10" t="str">
        <x:v>设计职责</x:v>
      </x:c>
      <x:c r="B136" s="3" t="str">
        <x:f>'64张卡牌'!AR15</x:f>
        <x:v>大额自损返还</x:v>
      </x:c>
      <x:c r="C136" s="3" t="str">
        <x:f>'64张卡牌'!AS15</x:f>
        <x:v>自损事件回报</x:v>
      </x:c>
      <x:c r="D136" s="3" t="str">
        <x:f>'64张卡牌'!AT15</x:f>
        <x:v>付血后的防御／抽牌</x:v>
      </x:c>
      <x:c r="E136" s="3" t="str">
        <x:f>'64张卡牌'!AU15</x:f>
        <x:v>精细调血／弹性攻击</x:v>
      </x:c>
      <x:c r="F136" s="3" t="str">
        <x:f>'64张卡牌'!AV15</x:f>
        <x:v>生成叠层／留给后续回合</x:v>
      </x:c>
      <x:c r="G136" s="3" t="str">
        <x:f>'64张卡牌'!AW15</x:f>
        <x:v>储量扩展／持有回报</x:v>
      </x:c>
    </x:row>
    <x:row r="137" ht="28" customHeight="1">
      <x:c r="A137" s="10" t="str">
        <x:v>适配方向</x:v>
      </x:c>
      <x:c r="B137" s="11" t="str">
        <x:f>'64张卡牌'!AR16</x:f>
        <x:v>血月、切换、控霜</x:v>
      </x:c>
      <x:c r="C137" s="11" t="str">
        <x:f>'64张卡牌'!AS16</x:f>
        <x:v>血月、泛用</x:v>
      </x:c>
      <x:c r="D137" s="11" t="str">
        <x:f>'64张卡牌'!AT16</x:f>
        <x:v>血月、泛用</x:v>
      </x:c>
      <x:c r="E137" s="11" t="str">
        <x:f>'64张卡牌'!AU16</x:f>
        <x:v>血月、月蚀</x:v>
      </x:c>
      <x:c r="F137" s="11" t="str">
        <x:f>'64张卡牌'!AV16</x:f>
        <x:v>月蚀、切换</x:v>
      </x:c>
      <x:c r="G137" s="11" t="str">
        <x:f>'64张卡牌'!AW16</x:f>
        <x:v>控霜、冰爆</x:v>
      </x:c>
    </x:row>
    <x:row r="138" ht="44" customHeight="1">
      <x:c r="A138" s="10" t="str">
        <x:v>时序／审阅重点</x:v>
      </x:c>
      <x:c r="B138" s="3" t="str">
        <x:f>'64张卡牌'!AR17</x:f>
        <x:v>不切形态，可在血月期间恢复而保留爆发窗口。</x:v>
      </x:c>
      <x:c r="C138" s="3" t="str">
        <x:f>'64张卡牌'!AS17</x:f>
        <x:v>同牌主支付与月被动分开也只能领取本回合第一次；敌伤、荆棘不触发。</x:v>
      </x:c>
      <x:c r="D138" s="3" t="str">
        <x:f>'64张卡牌'!AT17</x:f>
        <x:v>血月自身不自动烧血，但入场前的支付仍能满足本回合条件。</x:v>
      </x:c>
      <x:c r="E138" s="3" t="str">
        <x:f>'64张卡牌'!AU17</x:f>
        <x:v>月被动的额外支付不加入本牌增伤；不能选择导致生命归零的档位。</x:v>
      </x:c>
      <x:c r="F138" s="3" t="str">
        <x:f>'64张卡牌'!AV17</x:f>
        <x:v>生成牌保留且消耗；每回合只有一次生成机会，不按击数生成。</x:v>
      </x:c>
      <x:c r="G138" s="3" t="str">
        <x:f>'64张卡牌'!AW17</x:f>
        <x:v>不同副本可叠加上限和回合末格挡；达到新上限也不自动切形态。</x:v>
      </x:c>
    </x:row>
    <x:row r="139" ht="28" customHeight="1">
      <x:c r="A139" s="10" t="str">
        <x:v>实现批次</x:v>
      </x:c>
      <x:c r="B139" s="11" t="str">
        <x:f>'64张卡牌'!AR18</x:f>
        <x:v>优先实现</x:v>
      </x:c>
      <x:c r="C139" s="11" t="str">
        <x:f>'64张卡牌'!AS18</x:f>
        <x:v>完整卡池候选</x:v>
      </x:c>
      <x:c r="D139" s="11" t="str">
        <x:f>'64张卡牌'!AT18</x:f>
        <x:v>完整卡池候选</x:v>
      </x:c>
      <x:c r="E139" s="11" t="str">
        <x:f>'64张卡牌'!AU18</x:f>
        <x:v>优先实现</x:v>
      </x:c>
      <x:c r="F139" s="11" t="str">
        <x:f>'64张卡牌'!AV18</x:f>
        <x:v>完整卡池候选</x:v>
      </x:c>
      <x:c r="G139" s="11" t="str">
        <x:f>'64张卡牌'!AW18</x:f>
        <x:v>完整卡池候选</x:v>
      </x:c>
    </x:row>
    <x:row r="142" ht="28" customHeight="1">
      <x:c r="A142" s="26" t="str">
        <x:v>卡牌 49—54  ·  U25 至 R02</x:v>
      </x:c>
      <x:c r="B142" s="24"/>
      <x:c r="C142" s="24"/>
      <x:c r="D142" s="24"/>
      <x:c r="E142" s="24"/>
      <x:c r="F142" s="24"/>
      <x:c r="G142" s="24"/>
    </x:row>
    <x:row r="143" ht="32" customHeight="1">
      <x:c r="A143" s="15" t="str">
        <x:v>卡牌名</x:v>
      </x:c>
      <x:c r="B143" s="15" t="str">
        <x:f>'64张卡牌'!AX5</x:f>
        <x:v>观星</x:v>
      </x:c>
      <x:c r="C143" s="15" t="str">
        <x:f>'64张卡牌'!AY5</x:f>
        <x:v>折光</x:v>
      </x:c>
      <x:c r="D143" s="15" t="str">
        <x:f>'64张卡牌'!AZ5</x:f>
        <x:v>薄冰</x:v>
      </x:c>
      <x:c r="E143" s="15" t="str">
        <x:f>'64张卡牌'!BA5</x:f>
        <x:v>夜渡</x:v>
      </x:c>
      <x:c r="F143" s="15" t="str">
        <x:f>'64张卡牌'!BB5</x:f>
        <x:v>血月当空</x:v>
      </x:c>
      <x:c r="G143" s="15" t="str">
        <x:f>'64张卡牌'!BC5</x:f>
        <x:v>长夜不尽</x:v>
      </x:c>
    </x:row>
    <x:row r="144" ht="28" customHeight="1">
      <x:c r="A144" s="10" t="str">
        <x:v>ID</x:v>
      </x:c>
      <x:c r="B144" s="11" t="str">
        <x:f>'64张卡牌'!AX6</x:f>
        <x:v>U25</x:v>
      </x:c>
      <x:c r="C144" s="11" t="str">
        <x:f>'64张卡牌'!AY6</x:f>
        <x:v>U26</x:v>
      </x:c>
      <x:c r="D144" s="11" t="str">
        <x:f>'64张卡牌'!AZ6</x:f>
        <x:v>U27</x:v>
      </x:c>
      <x:c r="E144" s="11" t="str">
        <x:f>'64张卡牌'!BA6</x:f>
        <x:v>U28</x:v>
      </x:c>
      <x:c r="F144" s="11" t="str">
        <x:f>'64张卡牌'!BB6</x:f>
        <x:v>R01</x:v>
      </x:c>
      <x:c r="G144" s="11" t="str">
        <x:f>'64张卡牌'!BC6</x:f>
        <x:v>R02</x:v>
      </x:c>
    </x:row>
    <x:row r="145" ht="28" customHeight="1">
      <x:c r="A145" s="10" t="str">
        <x:v>稀有度</x:v>
      </x:c>
      <x:c r="B145" s="3" t="str">
        <x:f>'64张卡牌'!AX7</x:f>
        <x:v>罕见</x:v>
      </x:c>
      <x:c r="C145" s="3" t="str">
        <x:f>'64张卡牌'!AY7</x:f>
        <x:v>罕见</x:v>
      </x:c>
      <x:c r="D145" s="3" t="str">
        <x:f>'64张卡牌'!AZ7</x:f>
        <x:v>罕见</x:v>
      </x:c>
      <x:c r="E145" s="3" t="str">
        <x:f>'64张卡牌'!BA7</x:f>
        <x:v>罕见</x:v>
      </x:c>
      <x:c r="F145" s="3" t="str">
        <x:f>'64张卡牌'!BB7</x:f>
        <x:v>稀有</x:v>
      </x:c>
      <x:c r="G145" s="3" t="str">
        <x:f>'64张卡牌'!BC7</x:f>
        <x:v>稀有</x:v>
      </x:c>
    </x:row>
    <x:row r="146" ht="28" customHeight="1">
      <x:c r="A146" s="10" t="str">
        <x:v>类型</x:v>
      </x:c>
      <x:c r="B146" s="11" t="str">
        <x:f>'64张卡牌'!AX8</x:f>
        <x:v>技能</x:v>
      </x:c>
      <x:c r="C146" s="11" t="str">
        <x:f>'64张卡牌'!AY8</x:f>
        <x:v>攻击</x:v>
      </x:c>
      <x:c r="D146" s="11" t="str">
        <x:f>'64张卡牌'!AZ8</x:f>
        <x:v>技能</x:v>
      </x:c>
      <x:c r="E146" s="11" t="str">
        <x:f>'64张卡牌'!BA8</x:f>
        <x:v>技能</x:v>
      </x:c>
      <x:c r="F146" s="11" t="str">
        <x:f>'64张卡牌'!BB8</x:f>
        <x:v>能力</x:v>
      </x:c>
      <x:c r="G146" s="11" t="str">
        <x:f>'64张卡牌'!BC8</x:f>
        <x:v>能力</x:v>
      </x:c>
    </x:row>
    <x:row r="147" ht="28" customHeight="1">
      <x:c r="A147" s="10" t="str">
        <x:v>费用 · 基础</x:v>
      </x:c>
      <x:c r="B147" s="27" t="n">
        <x:f>'64张卡牌'!AX9</x:f>
        <x:v>1</x:v>
      </x:c>
      <x:c r="C147" s="27" t="n">
        <x:f>'64张卡牌'!AY9</x:f>
        <x:v>2</x:v>
      </x:c>
      <x:c r="D147" s="27" t="n">
        <x:f>'64张卡牌'!AZ9</x:f>
        <x:v>0</x:v>
      </x:c>
      <x:c r="E147" s="27" t="n">
        <x:f>'64张卡牌'!BA9</x:f>
        <x:v>1</x:v>
      </x:c>
      <x:c r="F147" s="27" t="n">
        <x:f>'64张卡牌'!BB9</x:f>
        <x:v>2</x:v>
      </x:c>
      <x:c r="G147" s="27" t="n">
        <x:f>'64张卡牌'!BC9</x:f>
        <x:v>2</x:v>
      </x:c>
    </x:row>
    <x:row r="148" ht="28" customHeight="1">
      <x:c r="A148" s="10" t="str">
        <x:v>费用 · 升级</x:v>
      </x:c>
      <x:c r="B148" s="28" t="n">
        <x:f>'64张卡牌'!AX10</x:f>
        <x:v>1</x:v>
      </x:c>
      <x:c r="C148" s="28" t="n">
        <x:f>'64张卡牌'!AY10</x:f>
        <x:v>2</x:v>
      </x:c>
      <x:c r="D148" s="28" t="n">
        <x:f>'64张卡牌'!AZ10</x:f>
        <x:v>0</x:v>
      </x:c>
      <x:c r="E148" s="28" t="n">
        <x:f>'64张卡牌'!BA10</x:f>
        <x:v>1</x:v>
      </x:c>
      <x:c r="F148" s="28" t="n">
        <x:f>'64张卡牌'!BB10</x:f>
        <x:v>2</x:v>
      </x:c>
      <x:c r="G148" s="28" t="n">
        <x:f>'64张卡牌'!BC10</x:f>
        <x:v>1</x:v>
      </x:c>
    </x:row>
    <x:row r="149" ht="44" customHeight="1">
      <x:c r="A149" s="10" t="str">
        <x:v>基础效果</x:v>
      </x:c>
      <x:c r="B149" s="3" t="str">
        <x:f>'64张卡牌'!AX11</x:f>
        <x:v>抽3张牌，然后弃1张牌。</x:v>
      </x:c>
      <x:c r="C149" s="3" t="str">
        <x:f>'64张卡牌'!AY11</x:f>
        <x:v>造成6点伤害2次，然后施加3月痕。</x:v>
      </x:c>
      <x:c r="D149" s="3" t="str">
        <x:f>'64张卡牌'!AZ11</x:f>
        <x:v>消耗1霜。获得7点格挡。消耗。</x:v>
      </x:c>
      <x:c r="E149" s="3" t="str">
        <x:f>'64张卡牌'!BA11</x:f>
        <x:v>获得6点格挡。选择进入冰或月；若因此实际切换了基础形态，抽1张牌。</x:v>
      </x:c>
      <x:c r="F149" s="3" t="str">
        <x:f>'64张卡牌'!BB11</x:f>
        <x:v>每次进入血月时，抽2张牌。每次血月期间首次完成月蚀后，回生4。</x:v>
      </x:c>
      <x:c r="G149" s="3" t="str">
        <x:f>'64张卡牌'!BC11</x:f>
        <x:v>每回合前两次主动切换冰月形态时，各抽1张牌；第二次还获得1能量。</x:v>
      </x:c>
    </x:row>
    <x:row r="150" ht="44" customHeight="1">
      <x:c r="A150" s="10" t="str">
        <x:v>升级后完整效果</x:v>
      </x:c>
      <x:c r="B150" s="11" t="str">
        <x:f>'64张卡牌'!AX12</x:f>
        <x:v>抽4张牌，然后弃1张牌。</x:v>
      </x:c>
      <x:c r="C150" s="11" t="str">
        <x:f>'64张卡牌'!AY12</x:f>
        <x:v>造成8点伤害2次，然后施加3月痕。</x:v>
      </x:c>
      <x:c r="D150" s="11" t="str">
        <x:f>'64张卡牌'!AZ12</x:f>
        <x:v>消耗1霜。获得10点格挡。消耗。</x:v>
      </x:c>
      <x:c r="E150" s="11" t="str">
        <x:f>'64张卡牌'!BA12</x:f>
        <x:v>获得9点格挡。选择进入冰或月；若因此实际切换了基础形态，抽1张牌。</x:v>
      </x:c>
      <x:c r="F150" s="11" t="str">
        <x:f>'64张卡牌'!BB12</x:f>
        <x:v>每次进入血月时，抽3张牌。每次血月期间首次完成月蚀后，回生4。</x:v>
      </x:c>
      <x:c r="G150" s="11" t="str">
        <x:f>'64张卡牌'!BC12</x:f>
        <x:v>每回合前两次主动切换冰月形态时，各抽1张牌；第二次还获得1能量。</x:v>
      </x:c>
    </x:row>
    <x:row r="151" ht="28" customHeight="1">
      <x:c r="A151" s="20" t="str">
        <x:v>升级改动</x:v>
      </x:c>
      <x:c r="B151" s="21" t="str">
        <x:f>'64张卡牌'!AX13</x:f>
        <x:v>抽牌3→4</x:v>
      </x:c>
      <x:c r="C151" s="21" t="str">
        <x:f>'64张卡牌'!AY13</x:f>
        <x:v>每击6→8</x:v>
      </x:c>
      <x:c r="D151" s="21" t="str">
        <x:f>'64张卡牌'!AZ13</x:f>
        <x:v>格挡7→10</x:v>
      </x:c>
      <x:c r="E151" s="21" t="str">
        <x:f>'64张卡牌'!BA13</x:f>
        <x:v>格挡6→9</x:v>
      </x:c>
      <x:c r="F151" s="21" t="str">
        <x:f>'64张卡牌'!BB13</x:f>
        <x:v>入血月抽牌2→3</x:v>
      </x:c>
      <x:c r="G151" s="21" t="str">
        <x:f>'64张卡牌'!BC13</x:f>
        <x:v>费用2→1</x:v>
      </x:c>
    </x:row>
    <x:row r="152" ht="28" customHeight="1">
      <x:c r="A152" s="10" t="str">
        <x:v>机制</x:v>
      </x:c>
      <x:c r="B152" s="11" t="str">
        <x:f>'64张卡牌'!AX14</x:f>
        <x:v>抽</x:v>
      </x:c>
      <x:c r="C152" s="11" t="str">
        <x:f>'64张卡牌'!AY14</x:f>
        <x:v>月痕</x:v>
      </x:c>
      <x:c r="D152" s="11" t="str">
        <x:f>'64张卡牌'!AZ14</x:f>
        <x:v>霜、消耗</x:v>
      </x:c>
      <x:c r="E152" s="11" t="str">
        <x:f>'64张卡牌'!BA14</x:f>
        <x:v>抽、进入</x:v>
      </x:c>
      <x:c r="F152" s="11" t="str">
        <x:f>'64张卡牌'!BB14</x:f>
        <x:v>月蚀、回生、抽、进入</x:v>
      </x:c>
      <x:c r="G152" s="11" t="str">
        <x:f>'64张卡牌'!BC14</x:f>
        <x:v>抽</x:v>
      </x:c>
    </x:row>
    <x:row r="153" ht="28" customHeight="1">
      <x:c r="A153" s="10" t="str">
        <x:v>设计职责</x:v>
      </x:c>
      <x:c r="B153" s="3" t="str">
        <x:f>'64张卡牌'!AX15</x:f>
        <x:v>筛手／寻找组件</x:v>
      </x:c>
      <x:c r="C153" s="3" t="str">
        <x:f>'64张卡牌'!AY15</x:f>
        <x:v>多段攻击／高密度叠层</x:v>
      </x:c>
      <x:c r="D153" s="3" t="str">
        <x:f>'64张卡牌'!AZ15</x:f>
        <x:v>紧急防御／资源转换</x:v>
      </x:c>
      <x:c r="E153" s="3" t="str">
        <x:f>'64张卡牌'!BA15</x:f>
        <x:v>可选出口／过牌</x:v>
      </x:c>
      <x:c r="F153" s="3" t="str">
        <x:f>'64张卡牌'!BB15</x:f>
        <x:v>血月构筑支点</x:v>
      </x:c>
      <x:c r="G153" s="3" t="str">
        <x:f>'64张卡牌'!BC15</x:f>
        <x:v>双向循环引擎</x:v>
      </x:c>
    </x:row>
    <x:row r="154" ht="28" customHeight="1">
      <x:c r="A154" s="10" t="str">
        <x:v>适配方向</x:v>
      </x:c>
      <x:c r="B154" s="11" t="str">
        <x:f>'64张卡牌'!AX16</x:f>
        <x:v>泛用、切换</x:v>
      </x:c>
      <x:c r="C154" s="11" t="str">
        <x:f>'64张卡牌'!AY16</x:f>
        <x:v>月蚀、血月</x:v>
      </x:c>
      <x:c r="D154" s="11" t="str">
        <x:f>'64张卡牌'!AZ16</x:f>
        <x:v>控霜、血月</x:v>
      </x:c>
      <x:c r="E154" s="11" t="str">
        <x:f>'64张卡牌'!BA16</x:f>
        <x:v>切换、泛用</x:v>
      </x:c>
      <x:c r="F154" s="11" t="str">
        <x:f>'64张卡牌'!BB16</x:f>
        <x:v>血月、月蚀</x:v>
      </x:c>
      <x:c r="G154" s="11" t="str">
        <x:f>'64张卡牌'!BC16</x:f>
        <x:v>切换、泛用</x:v>
      </x:c>
    </x:row>
    <x:row r="155" ht="44" customHeight="1">
      <x:c r="A155" s="10" t="str">
        <x:v>时序／审阅重点</x:v>
      </x:c>
      <x:c r="B155" s="3" t="str">
        <x:f>'64张卡牌'!AX17</x:f>
        <x:v>没有额外占卜或新资源；扩大找切换牌、引爆牌的能力。</x:v>
      </x:c>
      <x:c r="C155" s="3" t="str">
        <x:f>'64张卡牌'!AY17</x:f>
        <x:v>月被动仅附加一次；牌面两击不会烧两次血。</x:v>
      </x:c>
      <x:c r="D155" s="3" t="str">
        <x:f>'64张卡牌'!AZ17</x:f>
        <x:v>霜不足1不可打出；冰形态的产霜在支付之后结算，不能垫付。</x:v>
      </x:c>
      <x:c r="E155" s="3" t="str">
        <x:f>'64张卡牌'!BA17</x:f>
        <x:v>血月→冰或月不计为冰月切换，不抽牌；相同形态也不抽。</x:v>
      </x:c>
      <x:c r="F155" s="3" t="str">
        <x:f>'64张卡牌'!BB17</x:f>
        <x:v>打出时若已在血月，不补发入场抽牌；每个血月窗口只回血一次。</x:v>
      </x:c>
      <x:c r="G155" s="3" t="str">
        <x:f>'64张卡牌'!BC17</x:f>
        <x:v>每回合封顶两次，切形态不重置计数；每个副本分别提供同次奖励。</x:v>
      </x:c>
    </x:row>
    <x:row r="156" ht="28" customHeight="1">
      <x:c r="A156" s="10" t="str">
        <x:v>实现批次</x:v>
      </x:c>
      <x:c r="B156" s="11" t="str">
        <x:f>'64张卡牌'!AX18</x:f>
        <x:v>完整卡池候选</x:v>
      </x:c>
      <x:c r="C156" s="11" t="str">
        <x:f>'64张卡牌'!AY18</x:f>
        <x:v>完整卡池候选</x:v>
      </x:c>
      <x:c r="D156" s="11" t="str">
        <x:f>'64张卡牌'!AZ18</x:f>
        <x:v>完整卡池候选</x:v>
      </x:c>
      <x:c r="E156" s="11" t="str">
        <x:f>'64张卡牌'!BA18</x:f>
        <x:v>完整卡池候选</x:v>
      </x:c>
      <x:c r="F156" s="11" t="str">
        <x:f>'64张卡牌'!BB18</x:f>
        <x:v>完整卡池候选</x:v>
      </x:c>
      <x:c r="G156" s="11" t="str">
        <x:f>'64张卡牌'!BC18</x:f>
        <x:v>完整卡池候选</x:v>
      </x:c>
    </x:row>
    <x:row r="159" ht="28" customHeight="1">
      <x:c r="A159" s="26" t="str">
        <x:v>卡牌 55—60  ·  R03 至 R08</x:v>
      </x:c>
      <x:c r="B159" s="24"/>
      <x:c r="C159" s="24"/>
      <x:c r="D159" s="24"/>
      <x:c r="E159" s="24"/>
      <x:c r="F159" s="24"/>
      <x:c r="G159" s="24"/>
    </x:row>
    <x:row r="160" ht="32" customHeight="1">
      <x:c r="A160" s="15" t="str">
        <x:v>卡牌名</x:v>
      </x:c>
      <x:c r="B160" s="15" t="str">
        <x:f>'64张卡牌'!BD5</x:f>
        <x:v>冰封王座</x:v>
      </x:c>
      <x:c r="C160" s="15" t="str">
        <x:f>'64张卡牌'!BE5</x:f>
        <x:v>万相归潮</x:v>
      </x:c>
      <x:c r="D160" s="15" t="str">
        <x:f>'64张卡牌'!BF5</x:f>
        <x:v>月蚀尽头</x:v>
      </x:c>
      <x:c r="E160" s="15" t="str">
        <x:f>'64张卡牌'!BG5</x:f>
        <x:v>凝血为刃</x:v>
      </x:c>
      <x:c r="F160" s="15" t="str">
        <x:f>'64张卡牌'!BH5</x:f>
        <x:v>终冬</x:v>
      </x:c>
      <x:c r="G160" s="15" t="str">
        <x:f>'64张卡牌'!BI5</x:f>
        <x:v>借命</x:v>
      </x:c>
    </x:row>
    <x:row r="161" ht="28" customHeight="1">
      <x:c r="A161" s="10" t="str">
        <x:v>ID</x:v>
      </x:c>
      <x:c r="B161" s="11" t="str">
        <x:f>'64张卡牌'!BD6</x:f>
        <x:v>R03</x:v>
      </x:c>
      <x:c r="C161" s="11" t="str">
        <x:f>'64张卡牌'!BE6</x:f>
        <x:v>R04</x:v>
      </x:c>
      <x:c r="D161" s="11" t="str">
        <x:f>'64张卡牌'!BF6</x:f>
        <x:v>R05</x:v>
      </x:c>
      <x:c r="E161" s="11" t="str">
        <x:f>'64张卡牌'!BG6</x:f>
        <x:v>R06</x:v>
      </x:c>
      <x:c r="F161" s="11" t="str">
        <x:f>'64张卡牌'!BH6</x:f>
        <x:v>R07</x:v>
      </x:c>
      <x:c r="G161" s="11" t="str">
        <x:f>'64张卡牌'!BI6</x:f>
        <x:v>R08</x:v>
      </x:c>
    </x:row>
    <x:row r="162" ht="28" customHeight="1">
      <x:c r="A162" s="10" t="str">
        <x:v>稀有度</x:v>
      </x:c>
      <x:c r="B162" s="3" t="str">
        <x:f>'64张卡牌'!BD7</x:f>
        <x:v>稀有</x:v>
      </x:c>
      <x:c r="C162" s="3" t="str">
        <x:f>'64张卡牌'!BE7</x:f>
        <x:v>稀有</x:v>
      </x:c>
      <x:c r="D162" s="3" t="str">
        <x:f>'64张卡牌'!BF7</x:f>
        <x:v>稀有</x:v>
      </x:c>
      <x:c r="E162" s="3" t="str">
        <x:f>'64张卡牌'!BG7</x:f>
        <x:v>稀有</x:v>
      </x:c>
      <x:c r="F162" s="3" t="str">
        <x:f>'64张卡牌'!BH7</x:f>
        <x:v>稀有</x:v>
      </x:c>
      <x:c r="G162" s="3" t="str">
        <x:f>'64张卡牌'!BI7</x:f>
        <x:v>稀有</x:v>
      </x:c>
    </x:row>
    <x:row r="163" ht="28" customHeight="1">
      <x:c r="A163" s="10" t="str">
        <x:v>类型</x:v>
      </x:c>
      <x:c r="B163" s="11" t="str">
        <x:f>'64张卡牌'!BD8</x:f>
        <x:v>能力</x:v>
      </x:c>
      <x:c r="C163" s="11" t="str">
        <x:f>'64张卡牌'!BE8</x:f>
        <x:v>能力</x:v>
      </x:c>
      <x:c r="D163" s="11" t="str">
        <x:f>'64张卡牌'!BF8</x:f>
        <x:v>攻击</x:v>
      </x:c>
      <x:c r="E163" s="11" t="str">
        <x:f>'64张卡牌'!BG8</x:f>
        <x:v>攻击</x:v>
      </x:c>
      <x:c r="F163" s="11" t="str">
        <x:f>'64张卡牌'!BH8</x:f>
        <x:v>技能</x:v>
      </x:c>
      <x:c r="G163" s="11" t="str">
        <x:f>'64张卡牌'!BI8</x:f>
        <x:v>技能</x:v>
      </x:c>
    </x:row>
    <x:row r="164" ht="28" customHeight="1">
      <x:c r="A164" s="10" t="str">
        <x:v>费用 · 基础</x:v>
      </x:c>
      <x:c r="B164" s="27" t="n">
        <x:f>'64张卡牌'!BD9</x:f>
        <x:v>2</x:v>
      </x:c>
      <x:c r="C164" s="27" t="n">
        <x:f>'64张卡牌'!BE9</x:f>
        <x:v>2</x:v>
      </x:c>
      <x:c r="D164" s="27" t="n">
        <x:f>'64张卡牌'!BF9</x:f>
        <x:v>3</x:v>
      </x:c>
      <x:c r="E164" s="27" t="str">
        <x:f>'64张卡牌'!BG9</x:f>
        <x:v>X</x:v>
      </x:c>
      <x:c r="F164" s="27" t="n">
        <x:f>'64张卡牌'!BH9</x:f>
        <x:v>2</x:v>
      </x:c>
      <x:c r="G164" s="27" t="n">
        <x:f>'64张卡牌'!BI9</x:f>
        <x:v>0</x:v>
      </x:c>
    </x:row>
    <x:row r="165" ht="28" customHeight="1">
      <x:c r="A165" s="10" t="str">
        <x:v>费用 · 升级</x:v>
      </x:c>
      <x:c r="B165" s="28" t="n">
        <x:f>'64张卡牌'!BD10</x:f>
        <x:v>2</x:v>
      </x:c>
      <x:c r="C165" s="28" t="n">
        <x:f>'64张卡牌'!BE10</x:f>
        <x:v>2</x:v>
      </x:c>
      <x:c r="D165" s="28" t="n">
        <x:f>'64张卡牌'!BF10</x:f>
        <x:v>3</x:v>
      </x:c>
      <x:c r="E165" s="28" t="str">
        <x:f>'64张卡牌'!BG10</x:f>
        <x:v>X</x:v>
      </x:c>
      <x:c r="F165" s="28" t="n">
        <x:f>'64张卡牌'!BH10</x:f>
        <x:v>2</x:v>
      </x:c>
      <x:c r="G165" s="28" t="n">
        <x:f>'64张卡牌'!BI10</x:f>
        <x:v>0</x:v>
      </x:c>
    </x:row>
    <x:row r="166" ht="60" customHeight="1">
      <x:c r="A166" s="10" t="str">
        <x:v>基础效果</x:v>
      </x:c>
      <x:c r="B166" s="3" t="str">
        <x:f>'64张卡牌'!BD11</x:f>
        <x:v>每回合开始时获得1霜。回合结束时若至少有4霜，将最多8点当前格挡保留到下一回合。</x:v>
      </x:c>
      <x:c r="C166" s="3" t="str">
        <x:f>'64张卡牌'!BE11</x:f>
        <x:v>月蚀每击基础伤害增加1。每回合首次月蚀结算结束后，回生2。</x:v>
      </x:c>
      <x:c r="D166" s="3" t="str">
        <x:f>'64张卡牌'!BF11</x:f>
        <x:v>造成9点伤害。施加8月痕；若本次施加触发过月蚀且目标仍存活，再造成9点伤害。</x:v>
      </x:c>
      <x:c r="E166" s="3" t="str">
        <x:f>'64张卡牌'!BG11</x:f>
        <x:v>支付3生命。造成7点伤害X+1次。消耗。</x:v>
      </x:c>
      <x:c r="F166" s="3" t="str">
        <x:f>'64张卡牌'!BH11</x:f>
        <x:v>获得20点格挡。回生8。进入冰。消耗。</x:v>
      </x:c>
      <x:c r="G166" s="3" t="str">
        <x:f>'64张卡牌'!BI11</x:f>
        <x:v>支付5生命。获得2能量。抽2张牌。消耗。</x:v>
      </x:c>
    </x:row>
    <x:row r="167" ht="60" customHeight="1">
      <x:c r="A167" s="10" t="str">
        <x:v>升级后完整效果</x:v>
      </x:c>
      <x:c r="B167" s="11" t="str">
        <x:f>'64张卡牌'!BD12</x:f>
        <x:v>每回合开始时获得1霜。回合结束时若至少有4霜，将最多12点当前格挡保留到下一回合。</x:v>
      </x:c>
      <x:c r="C167" s="11" t="str">
        <x:f>'64张卡牌'!BE12</x:f>
        <x:v>月蚀每击基础伤害增加2。每回合首次月蚀结算结束后，回生2。</x:v>
      </x:c>
      <x:c r="D167" s="11" t="str">
        <x:f>'64张卡牌'!BF12</x:f>
        <x:v>造成12点伤害。施加8月痕；若本次施加触发过月蚀且目标仍存活，再造成12点伤害。</x:v>
      </x:c>
      <x:c r="E167" s="11" t="str">
        <x:f>'64张卡牌'!BG12</x:f>
        <x:v>支付3生命。造成9点伤害X+1次。消耗。</x:v>
      </x:c>
      <x:c r="F167" s="11" t="str">
        <x:f>'64张卡牌'!BH12</x:f>
        <x:v>获得26点格挡。回生10。进入冰。消耗。</x:v>
      </x:c>
      <x:c r="G167" s="11" t="str">
        <x:f>'64张卡牌'!BI12</x:f>
        <x:v>支付5生命。获得2能量。抽3张牌。消耗。</x:v>
      </x:c>
    </x:row>
    <x:row r="168" ht="28" customHeight="1">
      <x:c r="A168" s="20" t="str">
        <x:v>升级改动</x:v>
      </x:c>
      <x:c r="B168" s="21" t="str">
        <x:f>'64张卡牌'!BD13</x:f>
        <x:v>保留格挡上限8→12</x:v>
      </x:c>
      <x:c r="C168" s="21" t="str">
        <x:f>'64张卡牌'!BE13</x:f>
        <x:v>每击增伤1→2</x:v>
      </x:c>
      <x:c r="D168" s="21" t="str">
        <x:f>'64张卡牌'!BF13</x:f>
        <x:v>前后伤害各9→12</x:v>
      </x:c>
      <x:c r="E168" s="21" t="str">
        <x:f>'64张卡牌'!BG13</x:f>
        <x:v>每击7→9</x:v>
      </x:c>
      <x:c r="F168" s="21" t="str">
        <x:f>'64张卡牌'!BH13</x:f>
        <x:v>格挡20→26；回生8→10</x:v>
      </x:c>
      <x:c r="G168" s="21" t="str">
        <x:f>'64张卡牌'!BI13</x:f>
        <x:v>抽牌2→3</x:v>
      </x:c>
    </x:row>
    <x:row r="169" ht="28" customHeight="1">
      <x:c r="A169" s="10" t="str">
        <x:v>机制</x:v>
      </x:c>
      <x:c r="B169" s="11" t="str">
        <x:f>'64张卡牌'!BD14</x:f>
        <x:v>霜、保留</x:v>
      </x:c>
      <x:c r="C169" s="11" t="str">
        <x:f>'64张卡牌'!BE14</x:f>
        <x:v>月蚀、回生</x:v>
      </x:c>
      <x:c r="D169" s="11" t="str">
        <x:f>'64张卡牌'!BF14</x:f>
        <x:v>月痕、月蚀</x:v>
      </x:c>
      <x:c r="E169" s="11" t="str">
        <x:f>'64张卡牌'!BG14</x:f>
        <x:v>支付、消耗</x:v>
      </x:c>
      <x:c r="F169" s="11" t="str">
        <x:f>'64张卡牌'!BH14</x:f>
        <x:v>回生、消耗、进入</x:v>
      </x:c>
      <x:c r="G169" s="11" t="str">
        <x:f>'64张卡牌'!BI14</x:f>
        <x:v>支付、消耗、抽</x:v>
      </x:c>
    </x:row>
    <x:row r="170" ht="28" customHeight="1">
      <x:c r="A170" s="10" t="str">
        <x:v>设计职责</x:v>
      </x:c>
      <x:c r="B170" s="3" t="str">
        <x:f>'64张卡牌'!BD15</x:f>
        <x:v>高霜防御成长</x:v>
      </x:c>
      <x:c r="C170" s="3" t="str">
        <x:f>'64张卡牌'!BE15</x:f>
        <x:v>月蚀成长／回生</x:v>
      </x:c>
      <x:c r="D170" s="3" t="str">
        <x:f>'64张卡牌'!BF15</x:f>
        <x:v>独立引爆／终结攻击</x:v>
      </x:c>
      <x:c r="E170" s="3" t="str">
        <x:f>'64张卡牌'!BG15</x:f>
        <x:v>能量汇聚／多段终结</x:v>
      </x:c>
      <x:c r="F170" s="3" t="str">
        <x:f>'64张卡牌'!BH15</x:f>
        <x:v>强防御出口／恢复</x:v>
      </x:c>
      <x:c r="G170" s="3" t="str">
        <x:f>'64张卡牌'!BI15</x:f>
        <x:v>爆发启动</x:v>
      </x:c>
    </x:row>
    <x:row r="171" ht="28" customHeight="1">
      <x:c r="A171" s="10" t="str">
        <x:v>适配方向</x:v>
      </x:c>
      <x:c r="B171" s="11" t="str">
        <x:f>'64张卡牌'!BD16</x:f>
        <x:v>控霜、冰爆</x:v>
      </x:c>
      <x:c r="C171" s="11" t="str">
        <x:f>'64张卡牌'!BE16</x:f>
        <x:v>月蚀、血月</x:v>
      </x:c>
      <x:c r="D171" s="11" t="str">
        <x:f>'64张卡牌'!BF16</x:f>
        <x:v>月蚀、血月</x:v>
      </x:c>
      <x:c r="E171" s="11" t="str">
        <x:f>'64张卡牌'!BG16</x:f>
        <x:v>血月、冰爆</x:v>
      </x:c>
      <x:c r="F171" s="11" t="str">
        <x:f>'64张卡牌'!BH16</x:f>
        <x:v>血月、控霜、切换</x:v>
      </x:c>
      <x:c r="G171" s="11" t="str">
        <x:f>'64张卡牌'!BI16</x:f>
        <x:v>血月、泛用</x:v>
      </x:c>
    </x:row>
    <x:row r="172" ht="44" customHeight="1">
      <x:c r="A172" s="10" t="str">
        <x:v>时序／审阅重点</x:v>
      </x:c>
      <x:c r="B172" s="3" t="str">
        <x:f>'64张卡牌'!BD17</x:f>
        <x:v>不凭空产生格挡；检查时霜不足4就不保留；多个副本的保留上限相加。</x:v>
      </x:c>
      <x:c r="C172" s="3" t="str">
        <x:f>'64张卡牌'!BE17</x:f>
        <x:v>回生按月蚀次数封顶一次；增伤先加再由血月乘2。</x:v>
      </x:c>
      <x:c r="D172" s="3" t="str">
        <x:f>'64张卡牌'!BF17</x:f>
        <x:v>基础总伤害34→40；含一次完整月蚀；被人工制品挡住施加时可能没有后段。</x:v>
      </x:c>
      <x:c r="E172" s="3" t="str">
        <x:f>'64张卡牌'!BG17</x:f>
        <x:v>X记录本牌消耗的能量；X=0仍打一击；月被动整张牌只处理一次。</x:v>
      </x:c>
      <x:c r="F172" s="3" t="str">
        <x:f>'64张卡牌'!BH17</x:f>
        <x:v>明确以放弃剩余血月窗口换生存；回生仍受可回收额度限制。</x:v>
      </x:c>
      <x:c r="G172" s="3" t="str">
        <x:f>'64张卡牌'!BI17</x:f>
        <x:v>与灼脉形成稀有度递进；不解除血月冷却，也不让濒死时免付生命。</x:v>
      </x:c>
    </x:row>
    <x:row r="173" ht="28" customHeight="1">
      <x:c r="A173" s="10" t="str">
        <x:v>实现批次</x:v>
      </x:c>
      <x:c r="B173" s="11" t="str">
        <x:f>'64张卡牌'!BD18</x:f>
        <x:v>完整卡池候选</x:v>
      </x:c>
      <x:c r="C173" s="11" t="str">
        <x:f>'64张卡牌'!BE18</x:f>
        <x:v>完整卡池候选</x:v>
      </x:c>
      <x:c r="D173" s="11" t="str">
        <x:f>'64张卡牌'!BF18</x:f>
        <x:v>完整卡池候选</x:v>
      </x:c>
      <x:c r="E173" s="11" t="str">
        <x:f>'64张卡牌'!BG18</x:f>
        <x:v>完整卡池候选</x:v>
      </x:c>
      <x:c r="F173" s="11" t="str">
        <x:f>'64张卡牌'!BH18</x:f>
        <x:v>完整卡池候选</x:v>
      </x:c>
      <x:c r="G173" s="11" t="str">
        <x:f>'64张卡牌'!BI18</x:f>
        <x:v>完整卡池候选</x:v>
      </x:c>
    </x:row>
    <x:row r="176" ht="28" customHeight="1">
      <x:c r="A176" s="26" t="str">
        <x:v>卡牌 61—64  ·  R09 至 R12</x:v>
      </x:c>
      <x:c r="B176" s="24"/>
      <x:c r="C176" s="24"/>
      <x:c r="D176" s="24"/>
      <x:c r="E176" s="24"/>
      <x:c r="F176" s="24"/>
      <x:c r="G176" s="24"/>
    </x:row>
    <x:row r="177" ht="32" customHeight="1">
      <x:c r="A177" s="15" t="str">
        <x:v>卡牌名</x:v>
      </x:c>
      <x:c r="B177" s="15" t="str">
        <x:f>'64张卡牌'!BJ5</x:f>
        <x:v>月有重圆</x:v>
      </x:c>
      <x:c r="C177" s="15" t="str">
        <x:f>'64张卡牌'!BK5</x:f>
        <x:v>镜湖倒影</x:v>
      </x:c>
      <x:c r="D177" s="15" t="str">
        <x:f>'64张卡牌'!BL5</x:f>
        <x:v>红莲葬雪</x:v>
      </x:c>
      <x:c r="E177" s="15" t="str">
        <x:f>'64张卡牌'!BM5</x:f>
        <x:v>碎月成星</x:v>
      </x:c>
    </x:row>
    <x:row r="178" ht="28" customHeight="1">
      <x:c r="A178" s="10" t="str">
        <x:v>ID</x:v>
      </x:c>
      <x:c r="B178" s="11" t="str">
        <x:f>'64张卡牌'!BJ6</x:f>
        <x:v>R09</x:v>
      </x:c>
      <x:c r="C178" s="11" t="str">
        <x:f>'64张卡牌'!BK6</x:f>
        <x:v>R10</x:v>
      </x:c>
      <x:c r="D178" s="11" t="str">
        <x:f>'64张卡牌'!BL6</x:f>
        <x:v>R11</x:v>
      </x:c>
      <x:c r="E178" s="11" t="str">
        <x:f>'64张卡牌'!BM6</x:f>
        <x:v>R12</x:v>
      </x:c>
    </x:row>
    <x:row r="179" ht="28" customHeight="1">
      <x:c r="A179" s="10" t="str">
        <x:v>稀有度</x:v>
      </x:c>
      <x:c r="B179" s="3" t="str">
        <x:f>'64张卡牌'!BJ7</x:f>
        <x:v>稀有</x:v>
      </x:c>
      <x:c r="C179" s="3" t="str">
        <x:f>'64张卡牌'!BK7</x:f>
        <x:v>稀有</x:v>
      </x:c>
      <x:c r="D179" s="3" t="str">
        <x:f>'64张卡牌'!BL7</x:f>
        <x:v>稀有</x:v>
      </x:c>
      <x:c r="E179" s="3" t="str">
        <x:f>'64张卡牌'!BM7</x:f>
        <x:v>稀有</x:v>
      </x:c>
    </x:row>
    <x:row r="180" ht="28" customHeight="1">
      <x:c r="A180" s="10" t="str">
        <x:v>类型</x:v>
      </x:c>
      <x:c r="B180" s="11" t="str">
        <x:f>'64张卡牌'!BJ8</x:f>
        <x:v>技能</x:v>
      </x:c>
      <x:c r="C180" s="11" t="str">
        <x:f>'64张卡牌'!BK8</x:f>
        <x:v>技能</x:v>
      </x:c>
      <x:c r="D180" s="11" t="str">
        <x:f>'64张卡牌'!BL8</x:f>
        <x:v>攻击</x:v>
      </x:c>
      <x:c r="E180" s="11" t="str">
        <x:f>'64张卡牌'!BM8</x:f>
        <x:v>能力</x:v>
      </x:c>
    </x:row>
    <x:row r="181" ht="28" customHeight="1">
      <x:c r="A181" s="10" t="str">
        <x:v>费用 · 基础</x:v>
      </x:c>
      <x:c r="B181" s="27" t="n">
        <x:f>'64张卡牌'!BJ9</x:f>
        <x:v>1</x:v>
      </x:c>
      <x:c r="C181" s="27" t="n">
        <x:f>'64张卡牌'!BK9</x:f>
        <x:v>2</x:v>
      </x:c>
      <x:c r="D181" s="27" t="n">
        <x:f>'64张卡牌'!BL9</x:f>
        <x:v>2</x:v>
      </x:c>
      <x:c r="E181" s="27" t="n">
        <x:f>'64张卡牌'!BM9</x:f>
        <x:v>2</x:v>
      </x:c>
      <x:c r="F181" s="29"/>
      <x:c r="G181" s="29"/>
    </x:row>
    <x:row r="182" ht="28" customHeight="1">
      <x:c r="A182" s="10" t="str">
        <x:v>费用 · 升级</x:v>
      </x:c>
      <x:c r="B182" s="28" t="n">
        <x:f>'64张卡牌'!BJ10</x:f>
        <x:v>1</x:v>
      </x:c>
      <x:c r="C182" s="28" t="n">
        <x:f>'64张卡牌'!BK10</x:f>
        <x:v>2</x:v>
      </x:c>
      <x:c r="D182" s="28" t="n">
        <x:f>'64张卡牌'!BL10</x:f>
        <x:v>2</x:v>
      </x:c>
      <x:c r="E182" s="28" t="n">
        <x:f>'64张卡牌'!BM10</x:f>
        <x:v>2</x:v>
      </x:c>
      <x:c r="F182" s="29"/>
      <x:c r="G182" s="29"/>
    </x:row>
    <x:row r="183" ht="60" customHeight="1">
      <x:c r="A183" s="10" t="str">
        <x:v>基础效果</x:v>
      </x:c>
      <x:c r="B183" s="3" t="str">
        <x:f>'64张卡牌'!BJ11</x:f>
        <x:v>恢复6生命。若本牌开始时处于冰，获得2霜。消耗。</x:v>
      </x:c>
      <x:c r="C183" s="3" t="str">
        <x:f>'64张卡牌'!BK11</x:f>
        <x:v>从抽牌堆选1张非X费用攻击牌加入手牌；其本回合费用变为0。获得6点格挡。消耗。</x:v>
      </x:c>
      <x:c r="D183" s="3" t="str">
        <x:f>'64张卡牌'!BL11</x:f>
        <x:v>对所有敌人造成12点伤害。回生等于本牌实际造成的生命损失总和，最多6。进入冰。消耗。</x:v>
      </x:c>
      <x:c r="E183" s="3" t="str">
        <x:f>'64张卡牌'!BM11</x:f>
        <x:v>月蚀增加2击。月蚀每击基础伤害降低1，最低为1。</x:v>
      </x:c>
    </x:row>
    <x:row r="184" ht="60" customHeight="1">
      <x:c r="A184" s="10" t="str">
        <x:v>升级后完整效果</x:v>
      </x:c>
      <x:c r="B184" s="11" t="str">
        <x:f>'64张卡牌'!BJ12</x:f>
        <x:v>恢复9生命。若本牌开始时处于冰，获得2霜。消耗。</x:v>
      </x:c>
      <x:c r="C184" s="11" t="str">
        <x:f>'64张卡牌'!BK12</x:f>
        <x:v>从抽牌堆选1张非X费用攻击牌加入手牌；其本回合费用变为0。获得9点格挡。消耗。</x:v>
      </x:c>
      <x:c r="D184" s="11" t="str">
        <x:f>'64张卡牌'!BL12</x:f>
        <x:v>对所有敌人造成16点伤害。回生等于本牌实际造成的生命损失总和，最多8。进入冰。消耗。</x:v>
      </x:c>
      <x:c r="E184" s="11" t="str">
        <x:f>'64张卡牌'!BM12</x:f>
        <x:v>月蚀增加2击。</x:v>
      </x:c>
    </x:row>
    <x:row r="185" ht="28" customHeight="1">
      <x:c r="A185" s="20" t="str">
        <x:v>升级改动</x:v>
      </x:c>
      <x:c r="B185" s="21" t="str">
        <x:f>'64张卡牌'!BJ13</x:f>
        <x:v>真正治疗6→9</x:v>
      </x:c>
      <x:c r="C185" s="21" t="str">
        <x:f>'64张卡牌'!BK13</x:f>
        <x:v>格挡6→9</x:v>
      </x:c>
      <x:c r="D185" s="21" t="str">
        <x:f>'64张卡牌'!BL13</x:f>
        <x:v>伤害12→16；回生上限6→8</x:v>
      </x:c>
      <x:c r="E185" s="21" t="str">
        <x:f>'64张卡牌'!BM13</x:f>
        <x:v>移除每击减伤</x:v>
      </x:c>
    </x:row>
    <x:row r="186" ht="28" customHeight="1">
      <x:c r="A186" s="10" t="str">
        <x:v>机制</x:v>
      </x:c>
      <x:c r="B186" s="11" t="str">
        <x:f>'64张卡牌'!BJ14</x:f>
        <x:v>霜、恢复、消耗</x:v>
      </x:c>
      <x:c r="C186" s="11" t="str">
        <x:f>'64张卡牌'!BK14</x:f>
        <x:v>消耗、抽</x:v>
      </x:c>
      <x:c r="D186" s="11" t="str">
        <x:f>'64张卡牌'!BL14</x:f>
        <x:v>回生、消耗、进入</x:v>
      </x:c>
      <x:c r="E186" s="11" t="str">
        <x:f>'64张卡牌'!BM14</x:f>
        <x:v>月蚀</x:v>
      </x:c>
    </x:row>
    <x:row r="187" ht="28" customHeight="1">
      <x:c r="A187" s="10" t="str">
        <x:v>设计职责</x:v>
      </x:c>
      <x:c r="B187" s="3" t="str">
        <x:f>'64张卡牌'!BJ15</x:f>
        <x:v>治疗敌伤／产霜</x:v>
      </x:c>
      <x:c r="C187" s="3" t="str">
        <x:f>'64张卡牌'!BK15</x:f>
        <x:v>检索／费用转换</x:v>
      </x:c>
      <x:c r="D187" s="3" t="str">
        <x:f>'64张卡牌'!BL15</x:f>
        <x:v>群攻／恢复／出口</x:v>
      </x:c>
      <x:c r="E187" s="3" t="str">
        <x:f>'64张卡牌'!BM15</x:f>
        <x:v>击数构筑支点</x:v>
      </x:c>
    </x:row>
    <x:row r="188" ht="28" customHeight="1">
      <x:c r="A188" s="10" t="str">
        <x:v>适配方向</x:v>
      </x:c>
      <x:c r="B188" s="11" t="str">
        <x:f>'64张卡牌'!BJ16</x:f>
        <x:v>血月、控霜、泛用</x:v>
      </x:c>
      <x:c r="C188" s="11" t="str">
        <x:f>'64张卡牌'!BK16</x:f>
        <x:v>冰爆、血月、月蚀</x:v>
      </x:c>
      <x:c r="D188" s="11" t="str">
        <x:f>'64张卡牌'!BL16</x:f>
        <x:v>血月、月蚀、切换</x:v>
      </x:c>
      <x:c r="E188" s="11" t="str">
        <x:f>'64张卡牌'!BM16</x:f>
        <x:v>月蚀、血月</x:v>
      </x:c>
    </x:row>
    <x:row r="189" ht="60" customHeight="1">
      <x:c r="A189" s="10" t="str">
        <x:v>时序／审阅重点</x:v>
      </x:c>
      <x:c r="B189" s="3" t="str">
        <x:f>'64张卡牌'!BJ17</x:f>
        <x:v>能帮助再次达到55%生命蓄势线；在月或血月也保留完整治疗。</x:v>
      </x:c>
      <x:c r="C189" s="3" t="str">
        <x:f>'64张卡牌'!BK17</x:f>
        <x:v>无符合条件的牌时仍有格挡；并不自动打出，玩家可决定先回血还是先攻击。</x:v>
      </x:c>
      <x:c r="D189" s="3" t="str">
        <x:f>'64张卡牌'!BL17</x:f>
        <x:v>格挡吸收与过量伤害不计回血；击杀最后敌人仍结算本牌回生，但玩家死亡不能靠它复活。</x:v>
      </x:c>
      <x:c r="E189" s="3" t="str">
        <x:f>'64张卡牌'!BM17</x:f>
        <x:v>基础4×4变3×6；升级变4×6。多副本增加击数，未升级副本各减1基础伤害；潮汐随击数增加。</x:v>
      </x:c>
    </x:row>
    <x:row r="190" ht="28" customHeight="1">
      <x:c r="A190" s="10" t="str">
        <x:v>实现批次</x:v>
      </x:c>
      <x:c r="B190" s="11" t="str">
        <x:f>'64张卡牌'!BJ18</x:f>
        <x:v>完整卡池候选</x:v>
      </x:c>
      <x:c r="C190" s="11" t="str">
        <x:f>'64张卡牌'!BK18</x:f>
        <x:v>完整卡池候选</x:v>
      </x:c>
      <x:c r="D190" s="11" t="str">
        <x:f>'64张卡牌'!BL18</x:f>
        <x:v>完整卡池候选</x:v>
      </x:c>
      <x:c r="E190" s="11" t="str">
        <x:f>'64张卡牌'!BM18</x:f>
        <x:v>完整卡池候选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65518C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8.890000343322754" hidden="0" customWidth="1"/>
    <x:col min="2" max="2" width="18.889999389648438" hidden="0" customWidth="1"/>
    <x:col min="3" max="3" width="11.670000076293945" hidden="0" customWidth="1"/>
    <x:col min="4" max="4" width="8.329999923706055" hidden="0" customWidth="1"/>
    <x:col min="5" max="5" width="10" hidden="0" customWidth="1"/>
    <x:col min="6" max="6" width="8.890000343322754" hidden="0" customWidth="1"/>
    <x:col min="7" max="7" width="23.329999923706055" hidden="0" customWidth="1"/>
    <x:col min="8" max="8" width="53.33000183105469" hidden="0" customWidth="1"/>
  </x:cols>
  <x:sheetData>
    <x:row r="1" ht="32" customHeight="1">
      <x:c r="A1" s="5" t="str">
        <x:v>霜月 v0.2 · 4 套 20 张样例</x:v>
      </x:c>
      <x:c r="B1" s="3"/>
      <x:c r="C1" s="3"/>
      <x:c r="D1" s="3"/>
      <x:c r="E1" s="3"/>
      <x:c r="F1" s="3"/>
      <x:c r="G1" s="3"/>
      <x:c r="H1" s="3"/>
    </x:row>
    <x:row r="2" ht="25" customHeight="1">
      <x:c r="A2" s="7" t="str">
        <x:v>人为构造的首轮对照样本；全部不含稀有牌｜按“升级”列使用种子版本｜相同ID有多份时同时升级</x:v>
      </x:c>
      <x:c r="B2" s="3"/>
      <x:c r="C2" s="3"/>
      <x:c r="D2" s="3"/>
      <x:c r="E2" s="3"/>
      <x:c r="F2" s="3"/>
      <x:c r="G2" s="3"/>
      <x:c r="H2" s="3"/>
    </x:row>
    <x:row r="3" ht="25" customHeight="1">
      <x:c r="A3" s="8"/>
      <x:c r="B3" s="8"/>
      <x:c r="C3" s="8"/>
      <x:c r="D3" s="8"/>
      <x:c r="E3" s="8"/>
      <x:c r="F3" s="8"/>
      <x:c r="G3" s="8"/>
      <x:c r="H3" s="8"/>
    </x:row>
    <x:row r="4" ht="25" customHeight="1">
      <x:c r="A4" s="7" t="str">
        <x:v>数量列可修改，合计会更新。卡面审阅修订不自动替换这里的种子版本；4套样例均使用同一套核心规则。</x:v>
      </x:c>
      <x:c r="B4" s="3"/>
      <x:c r="C4" s="3"/>
      <x:c r="D4" s="3"/>
      <x:c r="E4" s="3"/>
      <x:c r="F4" s="3"/>
      <x:c r="G4" s="3"/>
      <x:c r="H4" s="3"/>
    </x:row>
    <x:row r="6" ht="30" customHeight="1">
      <x:c r="A6" s="34" t="str">
        <x:v>冰月往复  主推样例</x:v>
      </x:c>
      <x:c r="B6" s="3"/>
      <x:c r="C6" s="3"/>
      <x:c r="D6" s="3"/>
      <x:c r="E6" s="3"/>
      <x:c r="F6" s="3"/>
      <x:c r="G6" s="3"/>
      <x:c r="H6" s="3"/>
    </x:row>
    <x:row r="7" ht="25" customHeight="1">
      <x:c r="A7" s="7" t="str">
        <x:v>首先验证冰月桥梁、月蚀回报与恢复回合。</x:v>
      </x:c>
      <x:c r="B7" s="3"/>
      <x:c r="C7" s="3"/>
      <x:c r="D7" s="3"/>
      <x:c r="E7" s="3"/>
      <x:c r="F7" s="3"/>
      <x:c r="G7" s="3"/>
      <x:c r="H7" s="3"/>
    </x:row>
    <x:row r="8" ht="25" customHeight="1">
      <x:c r="A8" s="3"/>
      <x:c r="B8" s="3"/>
      <x:c r="C8" s="3"/>
      <x:c r="D8" s="3"/>
      <x:c r="E8" s="3"/>
      <x:c r="F8" s="3"/>
      <x:c r="G8" s="3"/>
      <x:c r="H8" s="3"/>
    </x:row>
    <x:row r="9" ht="32" customHeight="1">
      <x:c r="A9" s="15" t="str">
        <x:v>ID</x:v>
      </x:c>
      <x:c r="B9" s="15" t="str">
        <x:v>卡名</x:v>
      </x:c>
      <x:c r="C9" s="15" t="str">
        <x:v>数量 · 可改</x:v>
      </x:c>
      <x:c r="D9" s="15" t="str">
        <x:v>升级</x:v>
      </x:c>
      <x:c r="E9" s="15" t="str">
        <x:v>采用费用</x:v>
      </x:c>
      <x:c r="F9" s="15" t="str">
        <x:v>类型</x:v>
      </x:c>
      <x:c r="G9" s="15" t="str">
        <x:v>职责</x:v>
      </x:c>
      <x:c r="H9" s="15" t="str">
        <x:v>使用边界</x:v>
      </x:c>
    </x:row>
    <x:row r="10" ht="28" customHeight="1">
      <x:c r="A10" s="3" t="str">
        <x:v>B01</x:v>
      </x:c>
      <x:c r="B10" s="3" t="str">
        <x:f>'64张卡牌'!B5</x:f>
        <x:v>寒锋</x:v>
      </x:c>
      <x:c r="C10" s="23" t="n">
        <x:v>2</x:v>
      </x:c>
      <x:c r="D10" s="3" t="str">
        <x:v>否</x:v>
      </x:c>
      <x:c r="E10" s="27" t="n">
        <x:f>'64张卡牌'!B9</x:f>
        <x:v>1</x:v>
      </x:c>
      <x:c r="F10" s="3" t="str">
        <x:v>攻击</x:v>
      </x:c>
      <x:c r="G10" s="3" t="str">
        <x:v>基础攻击</x:v>
      </x:c>
      <x:c r="H10" s="3" t="str">
        <x:v>单体；月被动可以附加月痕；血月翻倍攻击伤害。</x:v>
      </x:c>
    </x:row>
    <x:row r="11" ht="28" customHeight="1">
      <x:c r="A11" s="11" t="str">
        <x:v>B02</x:v>
      </x:c>
      <x:c r="B11" s="11" t="str">
        <x:f>'64张卡牌'!C5</x:f>
        <x:v>凝霜</x:v>
      </x:c>
      <x:c r="C11" s="23" t="n">
        <x:v>2</x:v>
      </x:c>
      <x:c r="D11" s="11" t="str">
        <x:v>否</x:v>
      </x:c>
      <x:c r="E11" s="28" t="n">
        <x:f>'64张卡牌'!C9</x:f>
        <x:v>1</x:v>
      </x:c>
      <x:c r="F11" s="11" t="str">
        <x:v>技能</x:v>
      </x:c>
      <x:c r="G11" s="11" t="str">
        <x:v>基础防御</x:v>
      </x:c>
      <x:c r="H11" s="11" t="str">
        <x:v>在冰形态作为技能使用，可触发本回合前两次的产霜。</x:v>
      </x:c>
    </x:row>
    <x:row r="12" ht="28" customHeight="1">
      <x:c r="A12" s="3" t="str">
        <x:v>B03</x:v>
      </x:c>
      <x:c r="B12" s="3" t="str">
        <x:f>'64张卡牌'!D5</x:f>
        <x:v>映月</x:v>
      </x:c>
      <x:c r="C12" s="23" t="n">
        <x:v>1</x:v>
      </x:c>
      <x:c r="D12" s="3" t="str">
        <x:v>否</x:v>
      </x:c>
      <x:c r="E12" s="27" t="n">
        <x:f>'64张卡牌'!D9</x:f>
        <x:v>1</x:v>
      </x:c>
      <x:c r="F12" s="3" t="str">
        <x:v>攻击</x:v>
      </x:c>
      <x:c r="G12" s="3" t="str">
        <x:v>月入口／叠层</x:v>
      </x:c>
      <x:c r="H12" s="3" t="str">
        <x:v>从冰打出时不追溯获得月被动；在血月打出会在结算末提前退场。</x:v>
      </x:c>
    </x:row>
    <x:row r="13" ht="28" customHeight="1">
      <x:c r="A13" s="11" t="str">
        <x:v>B04</x:v>
      </x:c>
      <x:c r="B13" s="11" t="str">
        <x:f>'64张卡牌'!E5</x:f>
        <x:v>归冬</x:v>
      </x:c>
      <x:c r="C13" s="23" t="n">
        <x:v>1</x:v>
      </x:c>
      <x:c r="D13" s="11" t="str">
        <x:v>否</x:v>
      </x:c>
      <x:c r="E13" s="28" t="n">
        <x:f>'64张卡牌'!E9</x:f>
        <x:v>1</x:v>
      </x:c>
      <x:c r="F13" s="11" t="str">
        <x:v>技能</x:v>
      </x:c>
      <x:c r="G13" s="11" t="str">
        <x:v>冰入口／恢复</x:v>
      </x:c>
      <x:c r="H13" s="11" t="str">
        <x:v>从月返回冰；回生不能治疗敌伤；若原本在冰则不算切换。</x:v>
      </x:c>
    </x:row>
    <x:row r="14" ht="44" customHeight="1">
      <x:c r="A14" s="3" t="str">
        <x:v>C01</x:v>
      </x:c>
      <x:c r="B14" s="3" t="str">
        <x:f>'64张卡牌'!F5</x:f>
        <x:v>寒月斩</x:v>
      </x:c>
      <x:c r="C14" s="23" t="n">
        <x:v>1</x:v>
      </x:c>
      <x:c r="D14" s="3" t="str">
        <x:v>否</x:v>
      </x:c>
      <x:c r="E14" s="27" t="n">
        <x:f>'64张卡牌'!F9</x:f>
        <x:v>1</x:v>
      </x:c>
      <x:c r="F14" s="3" t="str">
        <x:v>攻击</x:v>
      </x:c>
      <x:c r="G14" s="3" t="str">
        <x:v>自损／产霜／输出</x:v>
      </x:c>
      <x:c r="H14" s="3" t="str">
        <x:v>月被动的额外1生命和1霜在牌面效果之前处理；本牌付血触发的血月从下一张牌生效。</x:v>
      </x:c>
    </x:row>
    <x:row r="15" ht="28" customHeight="1">
      <x:c r="A15" s="11" t="str">
        <x:v>C03</x:v>
      </x:c>
      <x:c r="B15" s="11" t="str">
        <x:f>'64张卡牌'!H5</x:f>
        <x:v>踏雪</x:v>
      </x:c>
      <x:c r="C15" s="23" t="n">
        <x:v>1</x:v>
      </x:c>
      <x:c r="D15" s="11" t="str">
        <x:v>否</x:v>
      </x:c>
      <x:c r="E15" s="28" t="n">
        <x:f>'64张卡牌'!H9</x:f>
        <x:v>1</x:v>
      </x:c>
      <x:c r="F15" s="11" t="str">
        <x:v>技能</x:v>
      </x:c>
      <x:c r="G15" s="11" t="str">
        <x:v>防御／产霜／入口</x:v>
      </x:c>
      <x:c r="H15" s="11" t="str">
        <x:v>即使无可回收生命，仍有防御和产霜价值。</x:v>
      </x:c>
    </x:row>
    <x:row r="16" ht="28" customHeight="1">
      <x:c r="A16" s="3" t="str">
        <x:v>C04</x:v>
      </x:c>
      <x:c r="B16" s="3" t="str">
        <x:f>'64张卡牌'!I5</x:f>
        <x:v>薄暮</x:v>
      </x:c>
      <x:c r="C16" s="23" t="n">
        <x:v>1</x:v>
      </x:c>
      <x:c r="D16" s="3" t="str">
        <x:v>否</x:v>
      </x:c>
      <x:c r="E16" s="27" t="n">
        <x:f>'64张卡牌'!I9</x:f>
        <x:v>1</x:v>
      </x:c>
      <x:c r="F16" s="3" t="str">
        <x:v>技能</x:v>
      </x:c>
      <x:c r="G16" s="3" t="str">
        <x:v>防御入口／叠层</x:v>
      </x:c>
      <x:c r="H16" s="3" t="str">
        <x:v>技能牌进入月不额外烧血；本牌在冰开始则仍领取冰的技能产霜。</x:v>
      </x:c>
    </x:row>
    <x:row r="17" ht="28" customHeight="1">
      <x:c r="A17" s="11" t="str">
        <x:v>C06</x:v>
      </x:c>
      <x:c r="B17" s="11" t="str">
        <x:f>'64张卡牌'!K5</x:f>
        <x:v>弦月</x:v>
      </x:c>
      <x:c r="C17" s="23" t="n">
        <x:v>1</x:v>
      </x:c>
      <x:c r="D17" s="11" t="str">
        <x:v>是</x:v>
      </x:c>
      <x:c r="E17" s="28" t="n">
        <x:f>'64张卡牌'!K10</x:f>
        <x:v>1</x:v>
      </x:c>
      <x:c r="F17" s="11" t="str">
        <x:v>攻击</x:v>
      </x:c>
      <x:c r="G17" s="11" t="str">
        <x:v>基础攻击桥梁</x:v>
      </x:c>
      <x:c r="H17" s="11" t="str">
        <x:v>月形态有霜时可合计施加4月痕，但要付1生命、消耗1霜。</x:v>
      </x:c>
    </x:row>
    <x:row r="18" ht="28" customHeight="1">
      <x:c r="A18" s="3" t="str">
        <x:v>C07</x:v>
      </x:c>
      <x:c r="B18" s="3" t="str">
        <x:f>'64张卡牌'!L5</x:f>
        <x:v>冰镜</x:v>
      </x:c>
      <x:c r="C18" s="23" t="n">
        <x:v>1</x:v>
      </x:c>
      <x:c r="D18" s="3" t="str">
        <x:v>否</x:v>
      </x:c>
      <x:c r="E18" s="27" t="n">
        <x:f>'64张卡牌'!L9</x:f>
        <x:v>1</x:v>
      </x:c>
      <x:c r="F18" s="3" t="str">
        <x:v>技能</x:v>
      </x:c>
      <x:c r="G18" s="3" t="str">
        <x:v>防御桥梁</x:v>
      </x:c>
      <x:c r="H18" s="3" t="str">
        <x:v>冰形态可在防御时引爆月蚀并回生，不必每次留在月。</x:v>
      </x:c>
    </x:row>
    <x:row r="19" ht="28" customHeight="1">
      <x:c r="A19" s="11" t="str">
        <x:v>C10</x:v>
      </x:c>
      <x:c r="B19" s="11" t="str">
        <x:f>'64张卡牌'!O5</x:f>
        <x:v>月落</x:v>
      </x:c>
      <x:c r="C19" s="23" t="n">
        <x:v>1</x:v>
      </x:c>
      <x:c r="D19" s="11" t="str">
        <x:v>否</x:v>
      </x:c>
      <x:c r="E19" s="28" t="n">
        <x:f>'64张卡牌'!O9</x:f>
        <x:v>1</x:v>
      </x:c>
      <x:c r="F19" s="11" t="str">
        <x:v>技能</x:v>
      </x:c>
      <x:c r="G19" s="11" t="str">
        <x:v>提前引爆／补层</x:v>
      </x:c>
      <x:c r="H19" s="11" t="str">
        <x:v>提前引爆保留未移除的层数；它不是移除全部月痕。</x:v>
      </x:c>
    </x:row>
    <x:row r="20" ht="28" customHeight="1">
      <x:c r="A20" s="3" t="str">
        <x:v>C11</x:v>
      </x:c>
      <x:c r="B20" s="3" t="str">
        <x:f>'64张卡牌'!P5</x:f>
        <x:v>退潮</x:v>
      </x:c>
      <x:c r="C20" s="23" t="n">
        <x:v>1</x:v>
      </x:c>
      <x:c r="D20" s="3" t="str">
        <x:v>否</x:v>
      </x:c>
      <x:c r="E20" s="27" t="n">
        <x:f>'64张卡牌'!P9</x:f>
        <x:v>1</x:v>
      </x:c>
      <x:c r="F20" s="3" t="str">
        <x:v>技能</x:v>
      </x:c>
      <x:c r="G20" s="3" t="str">
        <x:v>恢复／过牌／入口</x:v>
      </x:c>
      <x:c r="H20" s="3" t="str">
        <x:v>需要防御时不能把回生当作格挡；血月中使用会提前结束爆发。</x:v>
      </x:c>
    </x:row>
    <x:row r="21" ht="28" customHeight="1">
      <x:c r="A21" s="11" t="str">
        <x:v>C13</x:v>
      </x:c>
      <x:c r="B21" s="11" t="str">
        <x:f>'64张卡牌'!R5</x:f>
        <x:v>望舒</x:v>
      </x:c>
      <x:c r="C21" s="23" t="n">
        <x:v>1</x:v>
      </x:c>
      <x:c r="D21" s="11" t="str">
        <x:v>是</x:v>
      </x:c>
      <x:c r="E21" s="28" t="n">
        <x:f>'64张卡牌'!R10</x:f>
        <x:v>1</x:v>
      </x:c>
      <x:c r="F21" s="11" t="str">
        <x:v>技能</x:v>
      </x:c>
      <x:c r="G21" s="11" t="str">
        <x:v>抽牌／小额回生</x:v>
      </x:c>
      <x:c r="H21" s="11" t="str">
        <x:v>冰下侧重产霜，月下返少量自损；血月不同时被视为月。</x:v>
      </x:c>
    </x:row>
    <x:row r="22" ht="44" customHeight="1">
      <x:c r="A22" s="3" t="str">
        <x:v>U01</x:v>
      </x:c>
      <x:c r="B22" s="3" t="str">
        <x:f>'64张卡牌'!Z5</x:f>
        <x:v>镜月</x:v>
      </x:c>
      <x:c r="C22" s="23" t="n">
        <x:v>1</x:v>
      </x:c>
      <x:c r="D22" s="3" t="str">
        <x:v>是</x:v>
      </x:c>
      <x:c r="E22" s="27" t="n">
        <x:f>'64张卡牌'!Z10</x:f>
        <x:v>0</x:v>
      </x:c>
      <x:c r="F22" s="3" t="str">
        <x:v>技能</x:v>
      </x:c>
      <x:c r="G22" s="3" t="str">
        <x:v>资源桥梁／可选入口</x:v>
      </x:c>
      <x:c r="H22" s="3" t="str">
        <x:v>进入相同形态不触发切换奖励；血月中选择基础形态会提前结束血月。</x:v>
      </x:c>
    </x:row>
    <x:row r="23" ht="28" customHeight="1">
      <x:c r="A23" s="11" t="str">
        <x:v>U03</x:v>
      </x:c>
      <x:c r="B23" s="11" t="str">
        <x:f>'64张卡牌'!AB5</x:f>
        <x:v>潮汐</x:v>
      </x:c>
      <x:c r="C23" s="23" t="n">
        <x:v>1</x:v>
      </x:c>
      <x:c r="D23" s="11" t="str">
        <x:v>是</x:v>
      </x:c>
      <x:c r="E23" s="28" t="n">
        <x:f>'64张卡牌'!AB10</x:f>
        <x:v>1</x:v>
      </x:c>
      <x:c r="F23" s="11" t="str">
        <x:v>能力</x:v>
      </x:c>
      <x:c r="G23" s="11" t="str">
        <x:v>击数转防御</x:v>
      </x:c>
      <x:c r="H23" s="11" t="str">
        <x:v>被格挡的一击仍算；敌人死亡后未结算的击数不预支格挡。</x:v>
      </x:c>
    </x:row>
    <x:row r="24" ht="28" customHeight="1">
      <x:c r="A24" s="3" t="str">
        <x:v>U04</x:v>
      </x:c>
      <x:c r="B24" s="3" t="str">
        <x:f>'64张卡牌'!AC5</x:f>
        <x:v>霜缝</x:v>
      </x:c>
      <x:c r="C24" s="23" t="n">
        <x:v>1</x:v>
      </x:c>
      <x:c r="D24" s="3" t="str">
        <x:v>否</x:v>
      </x:c>
      <x:c r="E24" s="27" t="n">
        <x:f>'64张卡牌'!AC9</x:f>
        <x:v>1</x:v>
      </x:c>
      <x:c r="F24" s="3" t="str">
        <x:v>能力</x:v>
      </x:c>
      <x:c r="G24" s="3" t="str">
        <x:v>切换过牌</x:v>
      </x:c>
      <x:c r="H24" s="3" t="str">
        <x:v>同一回合反复进出不重置次数；血月出入不触发。</x:v>
      </x:c>
    </x:row>
    <x:row r="25" ht="28" customHeight="1">
      <x:c r="A25" s="11" t="str">
        <x:v>U14</x:v>
      </x:c>
      <x:c r="B25" s="11" t="str">
        <x:f>'64张卡牌'!AM5</x:f>
        <x:v>寒月</x:v>
      </x:c>
      <x:c r="C25" s="23" t="n">
        <x:v>1</x:v>
      </x:c>
      <x:c r="D25" s="11" t="str">
        <x:v>否</x:v>
      </x:c>
      <x:c r="E25" s="28" t="n">
        <x:f>'64张卡牌'!AM9</x:f>
        <x:v>2</x:v>
      </x:c>
      <x:c r="F25" s="11" t="str">
        <x:v>攻击</x:v>
      </x:c>
      <x:c r="G25" s="11" t="str">
        <x:v>引爆后返资源</x:v>
      </x:c>
      <x:c r="H25" s="11" t="str">
        <x:v>包括本牌的月被动附加月痕；同牌触发多次月蚀也只返还一次。</x:v>
      </x:c>
    </x:row>
    <x:row r="26" ht="28" customHeight="1">
      <x:c r="A26" s="3" t="str">
        <x:v>U19</x:v>
      </x:c>
      <x:c r="B26" s="3" t="str">
        <x:f>'64张卡牌'!AR5</x:f>
        <x:v>寒浴</x:v>
      </x:c>
      <x:c r="C26" s="23" t="n">
        <x:v>1</x:v>
      </x:c>
      <x:c r="D26" s="3" t="str">
        <x:v>否</x:v>
      </x:c>
      <x:c r="E26" s="27" t="n">
        <x:f>'64张卡牌'!AR9</x:f>
        <x:v>1</x:v>
      </x:c>
      <x:c r="F26" s="3" t="str">
        <x:v>技能</x:v>
      </x:c>
      <x:c r="G26" s="3" t="str">
        <x:v>大额自损返还</x:v>
      </x:c>
      <x:c r="H26" s="3" t="str">
        <x:v>不切形态，可在血月期间恢复而保留爆发窗口。</x:v>
      </x:c>
    </x:row>
    <x:row r="27" ht="28" customHeight="1">
      <x:c r="A27" s="11" t="str">
        <x:v>U28</x:v>
      </x:c>
      <x:c r="B27" s="11" t="str">
        <x:f>'64张卡牌'!BA5</x:f>
        <x:v>夜渡</x:v>
      </x:c>
      <x:c r="C27" s="23" t="n">
        <x:v>1</x:v>
      </x:c>
      <x:c r="D27" s="11" t="str">
        <x:v>否</x:v>
      </x:c>
      <x:c r="E27" s="28" t="n">
        <x:f>'64张卡牌'!BA9</x:f>
        <x:v>1</x:v>
      </x:c>
      <x:c r="F27" s="11" t="str">
        <x:v>技能</x:v>
      </x:c>
      <x:c r="G27" s="11" t="str">
        <x:v>可选出口／过牌</x:v>
      </x:c>
      <x:c r="H27" s="11" t="str">
        <x:v>血月→冰或月不计为冰月切换，不抽牌；相同形态也不抽。</x:v>
      </x:c>
    </x:row>
    <x:row r="28" ht="25" customHeight="1">
      <x:c r="A28" s="3"/>
      <x:c r="B28" s="9" t="str">
        <x:v>当前总张数</x:v>
      </x:c>
      <x:c r="C28" s="9" t="n">
        <x:f>SUM(C10:C27)</x:f>
        <x:v>20</x:v>
      </x:c>
      <x:c r="D28" s="9"/>
      <x:c r="E28" s="9"/>
      <x:c r="F28" s="3"/>
      <x:c r="G28" s="3"/>
      <x:c r="H28" s="3"/>
    </x:row>
    <x:row r="29" ht="25" customHeight="1">
      <x:c r="A29" s="3"/>
      <x:c r="B29" s="3"/>
      <x:c r="C29" s="3"/>
      <x:c r="D29" s="3"/>
      <x:c r="E29" s="3"/>
      <x:c r="F29" s="3"/>
      <x:c r="G29" s="3"/>
      <x:c r="H29" s="3"/>
    </x:row>
    <x:row r="30" ht="25" customHeight="1">
      <x:c r="A30" s="7" t="str">
        <x:v>冰蓄霜→薄暮或映月进月→弦月等加速叠痕→月落引爆→归冬或退潮回冰。</x:v>
      </x:c>
      <x:c r="B30" s="3"/>
      <x:c r="C30" s="3"/>
      <x:c r="D30" s="3"/>
      <x:c r="E30" s="3"/>
      <x:c r="F30" s="3"/>
      <x:c r="G30" s="3"/>
      <x:c r="H30" s="3"/>
    </x:row>
    <x:row r="31" ht="25" customHeight="1">
      <x:c r="A31" s="7" t="str">
        <x:v>20张、无稀有牌；不要求低血量。可用长夜不尽替换一张寒锋观察引擎上限。</x:v>
      </x:c>
      <x:c r="B31" s="3"/>
      <x:c r="C31" s="3"/>
      <x:c r="D31" s="3"/>
      <x:c r="E31" s="3"/>
      <x:c r="F31" s="3"/>
      <x:c r="G31" s="3"/>
      <x:c r="H31" s="3"/>
    </x:row>
    <x:row r="32" ht="25" customHeight="1">
      <x:c r="A32" s="3"/>
      <x:c r="B32" s="3"/>
      <x:c r="C32" s="3"/>
      <x:c r="D32" s="3"/>
      <x:c r="E32" s="3"/>
      <x:c r="F32" s="3"/>
      <x:c r="G32" s="3"/>
      <x:c r="H32" s="3"/>
    </x:row>
    <x:row r="34" ht="30" customHeight="1">
      <x:c r="A34" s="34" t="str">
        <x:v>极霜守夜  高霜样例</x:v>
      </x:c>
      <x:c r="B34" s="3"/>
      <x:c r="C34" s="3"/>
      <x:c r="D34" s="3"/>
      <x:c r="E34" s="3"/>
      <x:c r="F34" s="3"/>
      <x:c r="G34" s="3"/>
      <x:c r="H34" s="3"/>
    </x:row>
    <x:row r="35" ht="25" customHeight="1">
      <x:c r="A35" s="7" t="str">
        <x:v>验证持有霜与消费霜的取舍，以及不追血月的生存。</x:v>
      </x:c>
      <x:c r="B35" s="3"/>
      <x:c r="C35" s="3"/>
      <x:c r="D35" s="3"/>
      <x:c r="E35" s="3"/>
      <x:c r="F35" s="3"/>
      <x:c r="G35" s="3"/>
      <x:c r="H35" s="3"/>
    </x:row>
    <x:row r="36" ht="25" customHeight="1">
      <x:c r="A36" s="3"/>
      <x:c r="B36" s="3"/>
      <x:c r="C36" s="3"/>
      <x:c r="D36" s="3"/>
      <x:c r="E36" s="3"/>
      <x:c r="F36" s="3"/>
      <x:c r="G36" s="3"/>
      <x:c r="H36" s="3"/>
    </x:row>
    <x:row r="37" ht="32" customHeight="1">
      <x:c r="A37" s="15" t="str">
        <x:v>ID</x:v>
      </x:c>
      <x:c r="B37" s="15" t="str">
        <x:v>卡名</x:v>
      </x:c>
      <x:c r="C37" s="15" t="str">
        <x:v>数量 · 可改</x:v>
      </x:c>
      <x:c r="D37" s="15" t="str">
        <x:v>升级</x:v>
      </x:c>
      <x:c r="E37" s="15" t="str">
        <x:v>采用费用</x:v>
      </x:c>
      <x:c r="F37" s="15" t="str">
        <x:v>类型</x:v>
      </x:c>
      <x:c r="G37" s="15" t="str">
        <x:v>职责</x:v>
      </x:c>
      <x:c r="H37" s="15" t="str">
        <x:v>使用边界</x:v>
      </x:c>
    </x:row>
    <x:row r="38" ht="28" customHeight="1">
      <x:c r="A38" s="3" t="str">
        <x:v>B01</x:v>
      </x:c>
      <x:c r="B38" s="3" t="str">
        <x:f>'64张卡牌'!B5</x:f>
        <x:v>寒锋</x:v>
      </x:c>
      <x:c r="C38" s="23" t="n">
        <x:v>2</x:v>
      </x:c>
      <x:c r="D38" s="3" t="str">
        <x:v>否</x:v>
      </x:c>
      <x:c r="E38" s="27" t="n">
        <x:f>'64张卡牌'!B9</x:f>
        <x:v>1</x:v>
      </x:c>
      <x:c r="F38" s="3" t="str">
        <x:v>攻击</x:v>
      </x:c>
      <x:c r="G38" s="3" t="str">
        <x:v>基础攻击</x:v>
      </x:c>
      <x:c r="H38" s="3" t="str">
        <x:v>单体；月被动可以附加月痕；血月翻倍攻击伤害。</x:v>
      </x:c>
    </x:row>
    <x:row r="39" ht="28" customHeight="1">
      <x:c r="A39" s="11" t="str">
        <x:v>B02</x:v>
      </x:c>
      <x:c r="B39" s="11" t="str">
        <x:f>'64张卡牌'!C5</x:f>
        <x:v>凝霜</x:v>
      </x:c>
      <x:c r="C39" s="23" t="n">
        <x:v>3</x:v>
      </x:c>
      <x:c r="D39" s="11" t="str">
        <x:v>否</x:v>
      </x:c>
      <x:c r="E39" s="28" t="n">
        <x:f>'64张卡牌'!C9</x:f>
        <x:v>1</x:v>
      </x:c>
      <x:c r="F39" s="11" t="str">
        <x:v>技能</x:v>
      </x:c>
      <x:c r="G39" s="11" t="str">
        <x:v>基础防御</x:v>
      </x:c>
      <x:c r="H39" s="11" t="str">
        <x:v>在冰形态作为技能使用，可触发本回合前两次的产霜。</x:v>
      </x:c>
    </x:row>
    <x:row r="40" ht="28" customHeight="1">
      <x:c r="A40" s="3" t="str">
        <x:v>B03</x:v>
      </x:c>
      <x:c r="B40" s="3" t="str">
        <x:f>'64张卡牌'!D5</x:f>
        <x:v>映月</x:v>
      </x:c>
      <x:c r="C40" s="23" t="n">
        <x:v>1</x:v>
      </x:c>
      <x:c r="D40" s="3" t="str">
        <x:v>否</x:v>
      </x:c>
      <x:c r="E40" s="27" t="n">
        <x:f>'64张卡牌'!D9</x:f>
        <x:v>1</x:v>
      </x:c>
      <x:c r="F40" s="3" t="str">
        <x:v>攻击</x:v>
      </x:c>
      <x:c r="G40" s="3" t="str">
        <x:v>月入口／叠层</x:v>
      </x:c>
      <x:c r="H40" s="3" t="str">
        <x:v>从冰打出时不追溯获得月被动；在血月打出会在结算末提前退场。</x:v>
      </x:c>
    </x:row>
    <x:row r="41" ht="28" customHeight="1">
      <x:c r="A41" s="11" t="str">
        <x:v>B04</x:v>
      </x:c>
      <x:c r="B41" s="11" t="str">
        <x:f>'64张卡牌'!E5</x:f>
        <x:v>归冬</x:v>
      </x:c>
      <x:c r="C41" s="23" t="n">
        <x:v>1</x:v>
      </x:c>
      <x:c r="D41" s="11" t="str">
        <x:v>否</x:v>
      </x:c>
      <x:c r="E41" s="28" t="n">
        <x:f>'64张卡牌'!E9</x:f>
        <x:v>1</x:v>
      </x:c>
      <x:c r="F41" s="11" t="str">
        <x:v>技能</x:v>
      </x:c>
      <x:c r="G41" s="11" t="str">
        <x:v>冰入口／恢复</x:v>
      </x:c>
      <x:c r="H41" s="11" t="str">
        <x:v>从月返回冰；回生不能治疗敌伤；若原本在冰则不算切换。</x:v>
      </x:c>
    </x:row>
    <x:row r="42" ht="44" customHeight="1">
      <x:c r="A42" s="3" t="str">
        <x:v>C01</x:v>
      </x:c>
      <x:c r="B42" s="3" t="str">
        <x:f>'64张卡牌'!F5</x:f>
        <x:v>寒月斩</x:v>
      </x:c>
      <x:c r="C42" s="23" t="n">
        <x:v>1</x:v>
      </x:c>
      <x:c r="D42" s="3" t="str">
        <x:v>否</x:v>
      </x:c>
      <x:c r="E42" s="27" t="n">
        <x:f>'64张卡牌'!F9</x:f>
        <x:v>1</x:v>
      </x:c>
      <x:c r="F42" s="3" t="str">
        <x:v>攻击</x:v>
      </x:c>
      <x:c r="G42" s="3" t="str">
        <x:v>自损／产霜／输出</x:v>
      </x:c>
      <x:c r="H42" s="3" t="str">
        <x:v>月被动的额外1生命和1霜在牌面效果之前处理；本牌付血触发的血月从下一张牌生效。</x:v>
      </x:c>
    </x:row>
    <x:row r="43" ht="44" customHeight="1">
      <x:c r="A43" s="11" t="str">
        <x:v>C08</x:v>
      </x:c>
      <x:c r="B43" s="11" t="str">
        <x:f>'64张卡牌'!M5</x:f>
        <x:v>碎冰</x:v>
      </x:c>
      <x:c r="C43" s="23" t="n">
        <x:v>2</x:v>
      </x:c>
      <x:c r="D43" s="11" t="str">
        <x:v>否</x:v>
      </x:c>
      <x:c r="E43" s="28" t="n">
        <x:f>'64张卡牌'!M9</x:f>
        <x:v>1</x:v>
      </x:c>
      <x:c r="F43" s="11" t="str">
        <x:v>攻击</x:v>
      </x:c>
      <x:c r="G43" s="11" t="str">
        <x:v>消耗霜／输出</x:v>
      </x:c>
      <x:c r="H43" s="11" t="str">
        <x:v>本牌主动消耗量自动取当前霜与2的较小值；月被动消耗不算本牌增伤。</x:v>
      </x:c>
    </x:row>
    <x:row r="44" ht="28" customHeight="1">
      <x:c r="A44" s="3" t="str">
        <x:v>C09</x:v>
      </x:c>
      <x:c r="B44" s="3" t="str">
        <x:f>'64张卡牌'!N5</x:f>
        <x:v>雪藏</x:v>
      </x:c>
      <x:c r="C44" s="23" t="n">
        <x:v>1</x:v>
      </x:c>
      <x:c r="D44" s="3" t="str">
        <x:v>否</x:v>
      </x:c>
      <x:c r="E44" s="27" t="n">
        <x:f>'64张卡牌'!N9</x:f>
        <x:v>1</x:v>
      </x:c>
      <x:c r="F44" s="3" t="str">
        <x:v>技能</x:v>
      </x:c>
      <x:c r="G44" s="3" t="str">
        <x:v>可保留防御</x:v>
      </x:c>
      <x:c r="H44" s="3" t="str">
        <x:v>为低血爆发回合留防御；没有额外状态要求。</x:v>
      </x:c>
    </x:row>
    <x:row r="45" ht="28" customHeight="1">
      <x:c r="A45" s="11" t="str">
        <x:v>C19</x:v>
      </x:c>
      <x:c r="B45" s="11" t="str">
        <x:f>'64张卡牌'!X5</x:f>
        <x:v>止水</x:v>
      </x:c>
      <x:c r="C45" s="23" t="n">
        <x:v>1</x:v>
      </x:c>
      <x:c r="D45" s="11" t="str">
        <x:v>否</x:v>
      </x:c>
      <x:c r="E45" s="28" t="n">
        <x:f>'64张卡牌'!X9</x:f>
        <x:v>1</x:v>
      </x:c>
      <x:c r="F45" s="11" t="str">
        <x:v>技能</x:v>
      </x:c>
      <x:c r="G45" s="11" t="str">
        <x:v>资源换防御</x:v>
      </x:c>
      <x:c r="H45" s="11" t="str">
        <x:v>消耗霜与保持高霜的冻彻构成取舍；无霜仍有基础格挡。</x:v>
      </x:c>
    </x:row>
    <x:row r="46" ht="28" customHeight="1">
      <x:c r="A46" s="3" t="str">
        <x:v>C06</x:v>
      </x:c>
      <x:c r="B46" s="3" t="str">
        <x:f>'64张卡牌'!K5</x:f>
        <x:v>弦月</x:v>
      </x:c>
      <x:c r="C46" s="23" t="n">
        <x:v>1</x:v>
      </x:c>
      <x:c r="D46" s="3" t="str">
        <x:v>否</x:v>
      </x:c>
      <x:c r="E46" s="27" t="n">
        <x:f>'64张卡牌'!K9</x:f>
        <x:v>1</x:v>
      </x:c>
      <x:c r="F46" s="3" t="str">
        <x:v>攻击</x:v>
      </x:c>
      <x:c r="G46" s="3" t="str">
        <x:v>基础攻击桥梁</x:v>
      </x:c>
      <x:c r="H46" s="3" t="str">
        <x:v>月形态有霜时可合计施加4月痕，但要付1生命、消耗1霜。</x:v>
      </x:c>
    </x:row>
    <x:row r="47" ht="28" customHeight="1">
      <x:c r="A47" s="11" t="str">
        <x:v>C13</x:v>
      </x:c>
      <x:c r="B47" s="11" t="str">
        <x:f>'64张卡牌'!R5</x:f>
        <x:v>望舒</x:v>
      </x:c>
      <x:c r="C47" s="23" t="n">
        <x:v>1</x:v>
      </x:c>
      <x:c r="D47" s="11" t="str">
        <x:v>是</x:v>
      </x:c>
      <x:c r="E47" s="28" t="n">
        <x:f>'64张卡牌'!R10</x:f>
        <x:v>1</x:v>
      </x:c>
      <x:c r="F47" s="11" t="str">
        <x:v>技能</x:v>
      </x:c>
      <x:c r="G47" s="11" t="str">
        <x:v>抽牌／小额回生</x:v>
      </x:c>
      <x:c r="H47" s="11" t="str">
        <x:v>冰下侧重产霜，月下返少量自损；血月不同时被视为月。</x:v>
      </x:c>
    </x:row>
    <x:row r="48" ht="44" customHeight="1">
      <x:c r="A48" s="3" t="str">
        <x:v>U05</x:v>
      </x:c>
      <x:c r="B48" s="3" t="str">
        <x:f>'64张卡牌'!AD5</x:f>
        <x:v>冻彻</x:v>
      </x:c>
      <x:c r="C48" s="23" t="n">
        <x:v>2</x:v>
      </x:c>
      <x:c r="D48" s="3" t="str">
        <x:v>是</x:v>
      </x:c>
      <x:c r="E48" s="27" t="n">
        <x:f>'64张卡牌'!AD10</x:f>
        <x:v>1</x:v>
      </x:c>
      <x:c r="F48" s="3" t="str">
        <x:v>技能</x:v>
      </x:c>
      <x:c r="G48" s="3" t="str">
        <x:v>存量防御</x:v>
      </x:c>
      <x:c r="H48" s="3" t="str">
        <x:v>读取牌面执行到此处的霜；本牌触发的冰形态产霜在牌面结束后才给。</x:v>
      </x:c>
    </x:row>
    <x:row r="49" ht="28" customHeight="1">
      <x:c r="A49" s="11" t="str">
        <x:v>U06</x:v>
      </x:c>
      <x:c r="B49" s="11" t="str">
        <x:f>'64张卡牌'!AE5</x:f>
        <x:v>玄冰</x:v>
      </x:c>
      <x:c r="C49" s="23" t="n">
        <x:v>1</x:v>
      </x:c>
      <x:c r="D49" s="11" t="str">
        <x:v>否</x:v>
      </x:c>
      <x:c r="E49" s="28" t="n">
        <x:f>'64张卡牌'!AE9</x:f>
        <x:v>2</x:v>
      </x:c>
      <x:c r="F49" s="11" t="str">
        <x:v>攻击</x:v>
      </x:c>
      <x:c r="G49" s="11" t="str">
        <x:v>高霜输出／减益</x:v>
      </x:c>
      <x:c r="H49" s="11" t="str">
        <x:v>不消耗霜；但月被动可能在伤害前消耗1霜，使条件失效。</x:v>
      </x:c>
    </x:row>
    <x:row r="50" ht="28" customHeight="1">
      <x:c r="A50" s="3" t="str">
        <x:v>U07</x:v>
      </x:c>
      <x:c r="B50" s="3" t="str">
        <x:f>'64张卡牌'!AF5</x:f>
        <x:v>冰河断</x:v>
      </x:c>
      <x:c r="C50" s="23" t="n">
        <x:v>1</x:v>
      </x:c>
      <x:c r="D50" s="3" t="str">
        <x:v>是</x:v>
      </x:c>
      <x:c r="E50" s="27" t="n">
        <x:f>'64张卡牌'!AF10</x:f>
        <x:v>2</x:v>
      </x:c>
      <x:c r="F50" s="3" t="str">
        <x:v>攻击</x:v>
      </x:c>
      <x:c r="G50" s="3" t="str">
        <x:v>霜的集中兑现</x:v>
      </x:c>
      <x:c r="H50" s="3" t="str">
        <x:v>满额基础伤害27→31；血月下54→62，再计目标格挡与修正。</x:v>
      </x:c>
    </x:row>
    <x:row r="51" ht="28" customHeight="1">
      <x:c r="A51" s="11" t="str">
        <x:v>U19</x:v>
      </x:c>
      <x:c r="B51" s="11" t="str">
        <x:f>'64张卡牌'!AR5</x:f>
        <x:v>寒浴</x:v>
      </x:c>
      <x:c r="C51" s="23" t="n">
        <x:v>1</x:v>
      </x:c>
      <x:c r="D51" s="11" t="str">
        <x:v>否</x:v>
      </x:c>
      <x:c r="E51" s="28" t="n">
        <x:f>'64张卡牌'!AR9</x:f>
        <x:v>1</x:v>
      </x:c>
      <x:c r="F51" s="11" t="str">
        <x:v>技能</x:v>
      </x:c>
      <x:c r="G51" s="11" t="str">
        <x:v>大额自损返还</x:v>
      </x:c>
      <x:c r="H51" s="11" t="str">
        <x:v>不切形态，可在血月期间恢复而保留爆发窗口。</x:v>
      </x:c>
    </x:row>
    <x:row r="52" ht="28" customHeight="1">
      <x:c r="A52" s="3" t="str">
        <x:v>U24</x:v>
      </x:c>
      <x:c r="B52" s="3" t="str">
        <x:f>'64张卡牌'!AW5</x:f>
        <x:v>霜囊</x:v>
      </x:c>
      <x:c r="C52" s="23" t="n">
        <x:v>1</x:v>
      </x:c>
      <x:c r="D52" s="3" t="str">
        <x:v>是</x:v>
      </x:c>
      <x:c r="E52" s="27" t="n">
        <x:f>'64张卡牌'!AW10</x:f>
        <x:v>1</x:v>
      </x:c>
      <x:c r="F52" s="3" t="str">
        <x:v>能力</x:v>
      </x:c>
      <x:c r="G52" s="3" t="str">
        <x:v>储量扩展／持有回报</x:v>
      </x:c>
      <x:c r="H52" s="3" t="str">
        <x:v>不同副本可叠加上限和回合末格挡；达到新上限也不自动切形态。</x:v>
      </x:c>
    </x:row>
    <x:row r="53" ht="25" customHeight="1">
      <x:c r="A53" s="3"/>
      <x:c r="B53" s="9" t="str">
        <x:v>当前总张数</x:v>
      </x:c>
      <x:c r="C53" s="9" t="n">
        <x:f>SUM(C38:C52)</x:f>
        <x:v>20</x:v>
      </x:c>
      <x:c r="D53" s="9"/>
      <x:c r="E53" s="9"/>
      <x:c r="F53" s="3"/>
      <x:c r="G53" s="3"/>
      <x:c r="H53" s="3"/>
    </x:row>
    <x:row r="54" ht="25" customHeight="1">
      <x:c r="A54" s="3"/>
      <x:c r="B54" s="3"/>
      <x:c r="C54" s="3"/>
      <x:c r="D54" s="3"/>
      <x:c r="E54" s="3"/>
      <x:c r="F54" s="3"/>
      <x:c r="G54" s="3"/>
      <x:c r="H54" s="3"/>
    </x:row>
    <x:row r="55" ht="25" customHeight="1">
      <x:c r="A55" s="7" t="str">
        <x:v>尽量维持4至6霜；冻彻防守、玄冰虚弱；有斩杀机会才用冰河断或碎冰花掉库存。</x:v>
      </x:c>
      <x:c r="B55" s="3"/>
      <x:c r="C55" s="3"/>
      <x:c r="D55" s="3"/>
      <x:c r="E55" s="3"/>
      <x:c r="F55" s="3"/>
      <x:c r="G55" s="3"/>
      <x:c r="H55" s="3"/>
    </x:row>
    <x:row r="56" ht="25" customHeight="1">
      <x:c r="A56" s="7" t="str">
        <x:v>无稀有牌。两张冻彻均按升级版测试；可用冰封王座换一张凝霜测试长战。</x:v>
      </x:c>
      <x:c r="B56" s="3"/>
      <x:c r="C56" s="3"/>
      <x:c r="D56" s="3"/>
      <x:c r="E56" s="3"/>
      <x:c r="F56" s="3"/>
      <x:c r="G56" s="3"/>
      <x:c r="H56" s="3"/>
    </x:row>
    <x:row r="57" ht="25" customHeight="1">
      <x:c r="A57" s="3"/>
      <x:c r="B57" s="3"/>
      <x:c r="C57" s="3"/>
      <x:c r="D57" s="3"/>
      <x:c r="E57" s="3"/>
      <x:c r="F57" s="3"/>
      <x:c r="G57" s="3"/>
      <x:c r="H57" s="3"/>
    </x:row>
    <x:row r="59" ht="30" customHeight="1">
      <x:c r="A59" s="34" t="str">
        <x:v>月蚀潮汐  连续引爆样例</x:v>
      </x:c>
      <x:c r="B59" s="3"/>
      <x:c r="C59" s="3"/>
      <x:c r="D59" s="3"/>
      <x:c r="E59" s="3"/>
      <x:c r="F59" s="3"/>
      <x:c r="G59" s="3"/>
      <x:c r="H59" s="3"/>
    </x:row>
    <x:row r="60" ht="25" customHeight="1">
      <x:c r="A60" s="7" t="str">
        <x:v>验证多段效果、群体标记与月蚀返霜。</x:v>
      </x:c>
      <x:c r="B60" s="3"/>
      <x:c r="C60" s="3"/>
      <x:c r="D60" s="3"/>
      <x:c r="E60" s="3"/>
      <x:c r="F60" s="3"/>
      <x:c r="G60" s="3"/>
      <x:c r="H60" s="3"/>
    </x:row>
    <x:row r="61" ht="25" customHeight="1">
      <x:c r="A61" s="3"/>
      <x:c r="B61" s="3"/>
      <x:c r="C61" s="3"/>
      <x:c r="D61" s="3"/>
      <x:c r="E61" s="3"/>
      <x:c r="F61" s="3"/>
      <x:c r="G61" s="3"/>
      <x:c r="H61" s="3"/>
    </x:row>
    <x:row r="62" ht="32" customHeight="1">
      <x:c r="A62" s="15" t="str">
        <x:v>ID</x:v>
      </x:c>
      <x:c r="B62" s="15" t="str">
        <x:v>卡名</x:v>
      </x:c>
      <x:c r="C62" s="15" t="str">
        <x:v>数量 · 可改</x:v>
      </x:c>
      <x:c r="D62" s="15" t="str">
        <x:v>升级</x:v>
      </x:c>
      <x:c r="E62" s="15" t="str">
        <x:v>采用费用</x:v>
      </x:c>
      <x:c r="F62" s="15" t="str">
        <x:v>类型</x:v>
      </x:c>
      <x:c r="G62" s="15" t="str">
        <x:v>职责</x:v>
      </x:c>
      <x:c r="H62" s="15" t="str">
        <x:v>使用边界</x:v>
      </x:c>
    </x:row>
    <x:row r="63" ht="28" customHeight="1">
      <x:c r="A63" s="3" t="str">
        <x:v>B01</x:v>
      </x:c>
      <x:c r="B63" s="3" t="str">
        <x:f>'64张卡牌'!B5</x:f>
        <x:v>寒锋</x:v>
      </x:c>
      <x:c r="C63" s="23" t="n">
        <x:v>1</x:v>
      </x:c>
      <x:c r="D63" s="3" t="str">
        <x:v>否</x:v>
      </x:c>
      <x:c r="E63" s="27" t="n">
        <x:f>'64张卡牌'!B9</x:f>
        <x:v>1</x:v>
      </x:c>
      <x:c r="F63" s="3" t="str">
        <x:v>攻击</x:v>
      </x:c>
      <x:c r="G63" s="3" t="str">
        <x:v>基础攻击</x:v>
      </x:c>
      <x:c r="H63" s="3" t="str">
        <x:v>单体；月被动可以附加月痕；血月翻倍攻击伤害。</x:v>
      </x:c>
    </x:row>
    <x:row r="64" ht="28" customHeight="1">
      <x:c r="A64" s="11" t="str">
        <x:v>B02</x:v>
      </x:c>
      <x:c r="B64" s="11" t="str">
        <x:f>'64张卡牌'!C5</x:f>
        <x:v>凝霜</x:v>
      </x:c>
      <x:c r="C64" s="23" t="n">
        <x:v>2</x:v>
      </x:c>
      <x:c r="D64" s="11" t="str">
        <x:v>否</x:v>
      </x:c>
      <x:c r="E64" s="28" t="n">
        <x:f>'64张卡牌'!C9</x:f>
        <x:v>1</x:v>
      </x:c>
      <x:c r="F64" s="11" t="str">
        <x:v>技能</x:v>
      </x:c>
      <x:c r="G64" s="11" t="str">
        <x:v>基础防御</x:v>
      </x:c>
      <x:c r="H64" s="11" t="str">
        <x:v>在冰形态作为技能使用，可触发本回合前两次的产霜。</x:v>
      </x:c>
    </x:row>
    <x:row r="65" ht="28" customHeight="1">
      <x:c r="A65" s="3" t="str">
        <x:v>B03</x:v>
      </x:c>
      <x:c r="B65" s="3" t="str">
        <x:f>'64张卡牌'!D5</x:f>
        <x:v>映月</x:v>
      </x:c>
      <x:c r="C65" s="23" t="n">
        <x:v>1</x:v>
      </x:c>
      <x:c r="D65" s="3" t="str">
        <x:v>否</x:v>
      </x:c>
      <x:c r="E65" s="27" t="n">
        <x:f>'64张卡牌'!D9</x:f>
        <x:v>1</x:v>
      </x:c>
      <x:c r="F65" s="3" t="str">
        <x:v>攻击</x:v>
      </x:c>
      <x:c r="G65" s="3" t="str">
        <x:v>月入口／叠层</x:v>
      </x:c>
      <x:c r="H65" s="3" t="str">
        <x:v>从冰打出时不追溯获得月被动；在血月打出会在结算末提前退场。</x:v>
      </x:c>
    </x:row>
    <x:row r="66" ht="28" customHeight="1">
      <x:c r="A66" s="11" t="str">
        <x:v>B04</x:v>
      </x:c>
      <x:c r="B66" s="11" t="str">
        <x:f>'64张卡牌'!E5</x:f>
        <x:v>归冬</x:v>
      </x:c>
      <x:c r="C66" s="23" t="n">
        <x:v>1</x:v>
      </x:c>
      <x:c r="D66" s="11" t="str">
        <x:v>否</x:v>
      </x:c>
      <x:c r="E66" s="28" t="n">
        <x:f>'64张卡牌'!E9</x:f>
        <x:v>1</x:v>
      </x:c>
      <x:c r="F66" s="11" t="str">
        <x:v>技能</x:v>
      </x:c>
      <x:c r="G66" s="11" t="str">
        <x:v>冰入口／恢复</x:v>
      </x:c>
      <x:c r="H66" s="11" t="str">
        <x:v>从月返回冰；回生不能治疗敌伤；若原本在冰则不算切换。</x:v>
      </x:c>
    </x:row>
    <x:row r="67" ht="28" customHeight="1">
      <x:c r="A67" s="3" t="str">
        <x:v>C05</x:v>
      </x:c>
      <x:c r="B67" s="3" t="str">
        <x:f>'64张卡牌'!J5</x:f>
        <x:v>新月</x:v>
      </x:c>
      <x:c r="C67" s="23" t="n">
        <x:v>2</x:v>
      </x:c>
      <x:c r="D67" s="3" t="str">
        <x:v>否</x:v>
      </x:c>
      <x:c r="E67" s="27" t="n">
        <x:f>'64张卡牌'!J9</x:f>
        <x:v>0</x:v>
      </x:c>
      <x:c r="F67" s="3" t="str">
        <x:v>技能</x:v>
      </x:c>
      <x:c r="G67" s="3" t="str">
        <x:v>低费叠层</x:v>
      </x:c>
      <x:c r="H67" s="3" t="str">
        <x:v>无抽牌；强度需要计入抽到并占用一张手牌的成本。</x:v>
      </x:c>
    </x:row>
    <x:row r="68" ht="28" customHeight="1">
      <x:c r="A68" s="11" t="str">
        <x:v>C06</x:v>
      </x:c>
      <x:c r="B68" s="11" t="str">
        <x:f>'64张卡牌'!K5</x:f>
        <x:v>弦月</x:v>
      </x:c>
      <x:c r="C68" s="23" t="n">
        <x:v>2</x:v>
      </x:c>
      <x:c r="D68" s="11" t="str">
        <x:v>是</x:v>
      </x:c>
      <x:c r="E68" s="28" t="n">
        <x:f>'64张卡牌'!K10</x:f>
        <x:v>1</x:v>
      </x:c>
      <x:c r="F68" s="11" t="str">
        <x:v>攻击</x:v>
      </x:c>
      <x:c r="G68" s="11" t="str">
        <x:v>基础攻击桥梁</x:v>
      </x:c>
      <x:c r="H68" s="11" t="str">
        <x:v>月形态有霜时可合计施加4月痕，但要付1生命、消耗1霜。</x:v>
      </x:c>
    </x:row>
    <x:row r="69" ht="28" customHeight="1">
      <x:c r="A69" s="3" t="str">
        <x:v>C07</x:v>
      </x:c>
      <x:c r="B69" s="3" t="str">
        <x:f>'64张卡牌'!L5</x:f>
        <x:v>冰镜</x:v>
      </x:c>
      <x:c r="C69" s="23" t="n">
        <x:v>1</x:v>
      </x:c>
      <x:c r="D69" s="3" t="str">
        <x:v>否</x:v>
      </x:c>
      <x:c r="E69" s="27" t="n">
        <x:f>'64张卡牌'!L9</x:f>
        <x:v>1</x:v>
      </x:c>
      <x:c r="F69" s="3" t="str">
        <x:v>技能</x:v>
      </x:c>
      <x:c r="G69" s="3" t="str">
        <x:v>防御桥梁</x:v>
      </x:c>
      <x:c r="H69" s="3" t="str">
        <x:v>冰形态可在防御时引爆月蚀并回生，不必每次留在月。</x:v>
      </x:c>
    </x:row>
    <x:row r="70" ht="28" customHeight="1">
      <x:c r="A70" s="11" t="str">
        <x:v>C10</x:v>
      </x:c>
      <x:c r="B70" s="11" t="str">
        <x:f>'64张卡牌'!O5</x:f>
        <x:v>月落</x:v>
      </x:c>
      <x:c r="C70" s="23" t="n">
        <x:v>1</x:v>
      </x:c>
      <x:c r="D70" s="11" t="str">
        <x:v>否</x:v>
      </x:c>
      <x:c r="E70" s="28" t="n">
        <x:f>'64张卡牌'!O9</x:f>
        <x:v>1</x:v>
      </x:c>
      <x:c r="F70" s="11" t="str">
        <x:v>技能</x:v>
      </x:c>
      <x:c r="G70" s="11" t="str">
        <x:v>提前引爆／补层</x:v>
      </x:c>
      <x:c r="H70" s="11" t="str">
        <x:v>提前引爆保留未移除的层数；它不是移除全部月痕。</x:v>
      </x:c>
    </x:row>
    <x:row r="71" ht="28" customHeight="1">
      <x:c r="A71" s="3" t="str">
        <x:v>C11</x:v>
      </x:c>
      <x:c r="B71" s="3" t="str">
        <x:f>'64张卡牌'!P5</x:f>
        <x:v>退潮</x:v>
      </x:c>
      <x:c r="C71" s="23" t="n">
        <x:v>1</x:v>
      </x:c>
      <x:c r="D71" s="3" t="str">
        <x:v>否</x:v>
      </x:c>
      <x:c r="E71" s="27" t="n">
        <x:f>'64张卡牌'!P9</x:f>
        <x:v>1</x:v>
      </x:c>
      <x:c r="F71" s="3" t="str">
        <x:v>技能</x:v>
      </x:c>
      <x:c r="G71" s="3" t="str">
        <x:v>恢复／过牌／入口</x:v>
      </x:c>
      <x:c r="H71" s="3" t="str">
        <x:v>需要防御时不能把回生当作格挡；血月中使用会提前结束爆发。</x:v>
      </x:c>
    </x:row>
    <x:row r="72" ht="28" customHeight="1">
      <x:c r="A72" s="11" t="str">
        <x:v>C17</x:v>
      </x:c>
      <x:c r="B72" s="11" t="str">
        <x:f>'64张卡牌'!V5</x:f>
        <x:v>月洒</x:v>
      </x:c>
      <x:c r="C72" s="23" t="n">
        <x:v>1</x:v>
      </x:c>
      <x:c r="D72" s="11" t="str">
        <x:v>否</x:v>
      </x:c>
      <x:c r="E72" s="28" t="n">
        <x:f>'64张卡牌'!V9</x:f>
        <x:v>2</x:v>
      </x:c>
      <x:c r="F72" s="11" t="str">
        <x:v>攻击</x:v>
      </x:c>
      <x:c r="G72" s="11" t="str">
        <x:v>群攻／铺层</x:v>
      </x:c>
      <x:c r="H72" s="11" t="str">
        <x:v>不是单体攻击，不触发月形态的付血附加月痕。</x:v>
      </x:c>
    </x:row>
    <x:row r="73" ht="28" customHeight="1">
      <x:c r="A73" s="3" t="str">
        <x:v>C18</x:v>
      </x:c>
      <x:c r="B73" s="3" t="str">
        <x:f>'64张卡牌'!W5</x:f>
        <x:v>寒潮</x:v>
      </x:c>
      <x:c r="C73" s="23" t="n">
        <x:v>1</x:v>
      </x:c>
      <x:c r="D73" s="3" t="str">
        <x:v>否</x:v>
      </x:c>
      <x:c r="E73" s="27" t="n">
        <x:f>'64张卡牌'!W9</x:f>
        <x:v>1</x:v>
      </x:c>
      <x:c r="F73" s="3" t="str">
        <x:v>技能</x:v>
      </x:c>
      <x:c r="G73" s="3" t="str">
        <x:v>群体叠层／防御</x:v>
      </x:c>
      <x:c r="H73" s="3" t="str">
        <x:v>各目标独立检查月蚀；冰形态回生仅领取本回合首次月蚀的一次。</x:v>
      </x:c>
    </x:row>
    <x:row r="74" ht="28" customHeight="1">
      <x:c r="A74" s="11" t="str">
        <x:v>C13</x:v>
      </x:c>
      <x:c r="B74" s="11" t="str">
        <x:f>'64张卡牌'!R5</x:f>
        <x:v>望舒</x:v>
      </x:c>
      <x:c r="C74" s="23" t="n">
        <x:v>1</x:v>
      </x:c>
      <x:c r="D74" s="11" t="str">
        <x:v>是</x:v>
      </x:c>
      <x:c r="E74" s="28" t="n">
        <x:f>'64张卡牌'!R10</x:f>
        <x:v>1</x:v>
      </x:c>
      <x:c r="F74" s="11" t="str">
        <x:v>技能</x:v>
      </x:c>
      <x:c r="G74" s="11" t="str">
        <x:v>抽牌／小额回生</x:v>
      </x:c>
      <x:c r="H74" s="11" t="str">
        <x:v>冰下侧重产霜，月下返少量自损；血月不同时被视为月。</x:v>
      </x:c>
    </x:row>
    <x:row r="75" ht="28" customHeight="1">
      <x:c r="A75" s="3" t="str">
        <x:v>U02</x:v>
      </x:c>
      <x:c r="B75" s="3" t="str">
        <x:f>'64张卡牌'!AA5</x:f>
        <x:v>月下霜</x:v>
      </x:c>
      <x:c r="C75" s="23" t="n">
        <x:v>1</x:v>
      </x:c>
      <x:c r="D75" s="3" t="str">
        <x:v>否</x:v>
      </x:c>
      <x:c r="E75" s="27" t="n">
        <x:f>'64张卡牌'!AA9</x:f>
        <x:v>1</x:v>
      </x:c>
      <x:c r="F75" s="3" t="str">
        <x:v>能力</x:v>
      </x:c>
      <x:c r="G75" s="3" t="str">
        <x:v>月蚀返霜</x:v>
      </x:c>
      <x:c r="H75" s="3" t="str">
        <x:v>同一次月蚀按一次计算，不按段数；霜满时溢出丢弃。</x:v>
      </x:c>
    </x:row>
    <x:row r="76" ht="28" customHeight="1">
      <x:c r="A76" s="11" t="str">
        <x:v>U03</x:v>
      </x:c>
      <x:c r="B76" s="11" t="str">
        <x:f>'64张卡牌'!AB5</x:f>
        <x:v>潮汐</x:v>
      </x:c>
      <x:c r="C76" s="23" t="n">
        <x:v>1</x:v>
      </x:c>
      <x:c r="D76" s="11" t="str">
        <x:v>是</x:v>
      </x:c>
      <x:c r="E76" s="28" t="n">
        <x:f>'64张卡牌'!AB10</x:f>
        <x:v>1</x:v>
      </x:c>
      <x:c r="F76" s="11" t="str">
        <x:v>能力</x:v>
      </x:c>
      <x:c r="G76" s="11" t="str">
        <x:v>击数转防御</x:v>
      </x:c>
      <x:c r="H76" s="11" t="str">
        <x:v>被格挡的一击仍算；敌人死亡后未结算的击数不预支格挡。</x:v>
      </x:c>
    </x:row>
    <x:row r="77" ht="28" customHeight="1">
      <x:c r="A77" s="3" t="str">
        <x:v>U10</x:v>
      </x:c>
      <x:c r="B77" s="3" t="str">
        <x:f>'64张卡牌'!AI5</x:f>
        <x:v>满月</x:v>
      </x:c>
      <x:c r="C77" s="23" t="n">
        <x:v>1</x:v>
      </x:c>
      <x:c r="D77" s="3" t="str">
        <x:v>是</x:v>
      </x:c>
      <x:c r="E77" s="27" t="n">
        <x:f>'64张卡牌'!AI10</x:f>
        <x:v>2</x:v>
      </x:c>
      <x:c r="F77" s="3" t="str">
        <x:v>技能</x:v>
      </x:c>
      <x:c r="G77" s="3" t="str">
        <x:v>高密度叠层</x:v>
      </x:c>
      <x:c r="H77" s="3" t="str">
        <x:v>升级改变与其他产痕牌拼到8层的组合，不降低费用。</x:v>
      </x:c>
    </x:row>
    <x:row r="78" ht="28" customHeight="1">
      <x:c r="A78" s="11" t="str">
        <x:v>U11</x:v>
      </x:c>
      <x:c r="B78" s="11" t="str">
        <x:f>'64张卡牌'!AJ5</x:f>
        <x:v>弦外之音</x:v>
      </x:c>
      <x:c r="C78" s="23" t="n">
        <x:v>1</x:v>
      </x:c>
      <x:c r="D78" s="11" t="str">
        <x:v>否</x:v>
      </x:c>
      <x:c r="E78" s="28" t="n">
        <x:f>'64张卡牌'!AJ9</x:f>
        <x:v>1</x:v>
      </x:c>
      <x:c r="F78" s="11" t="str">
        <x:v>技能</x:v>
      </x:c>
      <x:c r="G78" s="11" t="str">
        <x:v>群体铺层／过牌</x:v>
      </x:c>
      <x:c r="H78" s="11" t="str">
        <x:v>多目标时价值更高；人工制品按各目标分别处理。</x:v>
      </x:c>
    </x:row>
    <x:row r="79" ht="28" customHeight="1">
      <x:c r="A79" s="3" t="str">
        <x:v>U25</x:v>
      </x:c>
      <x:c r="B79" s="3" t="str">
        <x:f>'64张卡牌'!AX5</x:f>
        <x:v>观星</x:v>
      </x:c>
      <x:c r="C79" s="23" t="n">
        <x:v>1</x:v>
      </x:c>
      <x:c r="D79" s="3" t="str">
        <x:v>否</x:v>
      </x:c>
      <x:c r="E79" s="27" t="n">
        <x:f>'64张卡牌'!AX9</x:f>
        <x:v>1</x:v>
      </x:c>
      <x:c r="F79" s="3" t="str">
        <x:v>技能</x:v>
      </x:c>
      <x:c r="G79" s="3" t="str">
        <x:v>筛手／寻找组件</x:v>
      </x:c>
      <x:c r="H79" s="3" t="str">
        <x:v>没有额外占卜或新资源；扩大找切换牌、引爆牌的能力。</x:v>
      </x:c>
    </x:row>
    <x:row r="80" ht="25" customHeight="1">
      <x:c r="A80" s="3"/>
      <x:c r="B80" s="9" t="str">
        <x:v>当前总张数</x:v>
      </x:c>
      <x:c r="C80" s="9" t="n">
        <x:f>SUM(C63:C79)</x:f>
        <x:v>20</x:v>
      </x:c>
      <x:c r="D80" s="9"/>
      <x:c r="E80" s="9"/>
      <x:c r="F80" s="3"/>
      <x:c r="G80" s="3"/>
      <x:c r="H80" s="3"/>
    </x:row>
    <x:row r="81" ht="25" customHeight="1">
      <x:c r="A81" s="3"/>
      <x:c r="B81" s="3"/>
      <x:c r="C81" s="3"/>
      <x:c r="D81" s="3"/>
      <x:c r="E81" s="3"/>
      <x:c r="F81" s="3"/>
      <x:c r="G81" s="3"/>
      <x:c r="H81" s="3"/>
    </x:row>
    <x:row r="82" ht="25" customHeight="1">
      <x:c r="A82" s="7" t="str">
        <x:v>月下霜和潮汐布置后，以新月、弦月、满月反复凑8；有回血需求时回冰再引爆。</x:v>
      </x:c>
      <x:c r="B82" s="3"/>
      <x:c r="C82" s="3"/>
      <x:c r="D82" s="3"/>
      <x:c r="E82" s="3"/>
      <x:c r="F82" s="3"/>
      <x:c r="G82" s="3"/>
      <x:c r="H82" s="3"/>
    </x:row>
    <x:row r="83" ht="25" customHeight="1">
      <x:c r="A83" s="7" t="str">
        <x:v>无稀有牌；两张弦月均升级。可分别加入万相归潮、碎月成星，观察伤害与每击格挡是否同时失控。</x:v>
      </x:c>
      <x:c r="B83" s="3"/>
      <x:c r="C83" s="3"/>
      <x:c r="D83" s="3"/>
      <x:c r="E83" s="3"/>
      <x:c r="F83" s="3"/>
      <x:c r="G83" s="3"/>
      <x:c r="H83" s="3"/>
    </x:row>
    <x:row r="84" ht="25" customHeight="1">
      <x:c r="A84" s="3"/>
      <x:c r="B84" s="3"/>
      <x:c r="C84" s="3"/>
      <x:c r="D84" s="3"/>
      <x:c r="E84" s="3"/>
      <x:c r="F84" s="3"/>
      <x:c r="G84" s="3"/>
      <x:c r="H84" s="3"/>
    </x:row>
    <x:row r="86" ht="30" customHeight="1">
      <x:c r="A86" s="34" t="str">
        <x:v>血月回潮  压血样例</x:v>
      </x:c>
      <x:c r="B86" s="3"/>
      <x:c r="C86" s="3"/>
      <x:c r="D86" s="3"/>
      <x:c r="E86" s="3"/>
      <x:c r="F86" s="3"/>
      <x:c r="G86" s="3"/>
      <x:c r="H86" s="3"/>
    </x:row>
    <x:row r="87" ht="25" customHeight="1">
      <x:c r="A87" s="7" t="str">
        <x:v>验证可控付血、血月结束后的恢复，以及再次蓄势。</x:v>
      </x:c>
      <x:c r="B87" s="3"/>
      <x:c r="C87" s="3"/>
      <x:c r="D87" s="3"/>
      <x:c r="E87" s="3"/>
      <x:c r="F87" s="3"/>
      <x:c r="G87" s="3"/>
      <x:c r="H87" s="3"/>
    </x:row>
    <x:row r="88" ht="25" customHeight="1">
      <x:c r="A88" s="3"/>
      <x:c r="B88" s="3"/>
      <x:c r="C88" s="3"/>
      <x:c r="D88" s="3"/>
      <x:c r="E88" s="3"/>
      <x:c r="F88" s="3"/>
      <x:c r="G88" s="3"/>
      <x:c r="H88" s="3"/>
    </x:row>
    <x:row r="89" ht="32" customHeight="1">
      <x:c r="A89" s="15" t="str">
        <x:v>ID</x:v>
      </x:c>
      <x:c r="B89" s="15" t="str">
        <x:v>卡名</x:v>
      </x:c>
      <x:c r="C89" s="15" t="str">
        <x:v>数量 · 可改</x:v>
      </x:c>
      <x:c r="D89" s="15" t="str">
        <x:v>升级</x:v>
      </x:c>
      <x:c r="E89" s="15" t="str">
        <x:v>采用费用</x:v>
      </x:c>
      <x:c r="F89" s="15" t="str">
        <x:v>类型</x:v>
      </x:c>
      <x:c r="G89" s="15" t="str">
        <x:v>职责</x:v>
      </x:c>
      <x:c r="H89" s="15" t="str">
        <x:v>使用边界</x:v>
      </x:c>
    </x:row>
    <x:row r="90" ht="28" customHeight="1">
      <x:c r="A90" s="3" t="str">
        <x:v>B01</x:v>
      </x:c>
      <x:c r="B90" s="3" t="str">
        <x:f>'64张卡牌'!B5</x:f>
        <x:v>寒锋</x:v>
      </x:c>
      <x:c r="C90" s="23" t="n">
        <x:v>1</x:v>
      </x:c>
      <x:c r="D90" s="3" t="str">
        <x:v>否</x:v>
      </x:c>
      <x:c r="E90" s="27" t="n">
        <x:f>'64张卡牌'!B9</x:f>
        <x:v>1</x:v>
      </x:c>
      <x:c r="F90" s="3" t="str">
        <x:v>攻击</x:v>
      </x:c>
      <x:c r="G90" s="3" t="str">
        <x:v>基础攻击</x:v>
      </x:c>
      <x:c r="H90" s="3" t="str">
        <x:v>单体；月被动可以附加月痕；血月翻倍攻击伤害。</x:v>
      </x:c>
    </x:row>
    <x:row r="91" ht="28" customHeight="1">
      <x:c r="A91" s="11" t="str">
        <x:v>B02</x:v>
      </x:c>
      <x:c r="B91" s="11" t="str">
        <x:f>'64张卡牌'!C5</x:f>
        <x:v>凝霜</x:v>
      </x:c>
      <x:c r="C91" s="23" t="n">
        <x:v>2</x:v>
      </x:c>
      <x:c r="D91" s="11" t="str">
        <x:v>否</x:v>
      </x:c>
      <x:c r="E91" s="28" t="n">
        <x:f>'64张卡牌'!C9</x:f>
        <x:v>1</x:v>
      </x:c>
      <x:c r="F91" s="11" t="str">
        <x:v>技能</x:v>
      </x:c>
      <x:c r="G91" s="11" t="str">
        <x:v>基础防御</x:v>
      </x:c>
      <x:c r="H91" s="11" t="str">
        <x:v>在冰形态作为技能使用，可触发本回合前两次的产霜。</x:v>
      </x:c>
    </x:row>
    <x:row r="92" ht="28" customHeight="1">
      <x:c r="A92" s="3" t="str">
        <x:v>B03</x:v>
      </x:c>
      <x:c r="B92" s="3" t="str">
        <x:f>'64张卡牌'!D5</x:f>
        <x:v>映月</x:v>
      </x:c>
      <x:c r="C92" s="23" t="n">
        <x:v>1</x:v>
      </x:c>
      <x:c r="D92" s="3" t="str">
        <x:v>否</x:v>
      </x:c>
      <x:c r="E92" s="27" t="n">
        <x:f>'64张卡牌'!D9</x:f>
        <x:v>1</x:v>
      </x:c>
      <x:c r="F92" s="3" t="str">
        <x:v>攻击</x:v>
      </x:c>
      <x:c r="G92" s="3" t="str">
        <x:v>月入口／叠层</x:v>
      </x:c>
      <x:c r="H92" s="3" t="str">
        <x:v>从冰打出时不追溯获得月被动；在血月打出会在结算末提前退场。</x:v>
      </x:c>
    </x:row>
    <x:row r="93" ht="28" customHeight="1">
      <x:c r="A93" s="11" t="str">
        <x:v>B04</x:v>
      </x:c>
      <x:c r="B93" s="11" t="str">
        <x:f>'64张卡牌'!E5</x:f>
        <x:v>归冬</x:v>
      </x:c>
      <x:c r="C93" s="23" t="n">
        <x:v>1</x:v>
      </x:c>
      <x:c r="D93" s="11" t="str">
        <x:v>否</x:v>
      </x:c>
      <x:c r="E93" s="28" t="n">
        <x:f>'64张卡牌'!E9</x:f>
        <x:v>1</x:v>
      </x:c>
      <x:c r="F93" s="11" t="str">
        <x:v>技能</x:v>
      </x:c>
      <x:c r="G93" s="11" t="str">
        <x:v>冰入口／恢复</x:v>
      </x:c>
      <x:c r="H93" s="11" t="str">
        <x:v>从月返回冰；回生不能治疗敌伤；若原本在冰则不算切换。</x:v>
      </x:c>
    </x:row>
    <x:row r="94" ht="44" customHeight="1">
      <x:c r="A94" s="3" t="str">
        <x:v>C01</x:v>
      </x:c>
      <x:c r="B94" s="3" t="str">
        <x:f>'64张卡牌'!F5</x:f>
        <x:v>寒月斩</x:v>
      </x:c>
      <x:c r="C94" s="23" t="n">
        <x:v>2</x:v>
      </x:c>
      <x:c r="D94" s="3" t="str">
        <x:v>否</x:v>
      </x:c>
      <x:c r="E94" s="27" t="n">
        <x:f>'64张卡牌'!F9</x:f>
        <x:v>1</x:v>
      </x:c>
      <x:c r="F94" s="3" t="str">
        <x:v>攻击</x:v>
      </x:c>
      <x:c r="G94" s="3" t="str">
        <x:v>自损／产霜／输出</x:v>
      </x:c>
      <x:c r="H94" s="3" t="str">
        <x:v>月被动的额外1生命和1霜在牌面效果之前处理；本牌付血触发的血月从下一张牌生效。</x:v>
      </x:c>
    </x:row>
    <x:row r="95" ht="28" customHeight="1">
      <x:c r="A95" s="11" t="str">
        <x:v>C04</x:v>
      </x:c>
      <x:c r="B95" s="11" t="str">
        <x:f>'64张卡牌'!I5</x:f>
        <x:v>薄暮</x:v>
      </x:c>
      <x:c r="C95" s="23" t="n">
        <x:v>1</x:v>
      </x:c>
      <x:c r="D95" s="11" t="str">
        <x:v>否</x:v>
      </x:c>
      <x:c r="E95" s="28" t="n">
        <x:f>'64张卡牌'!I9</x:f>
        <x:v>1</x:v>
      </x:c>
      <x:c r="F95" s="11" t="str">
        <x:v>技能</x:v>
      </x:c>
      <x:c r="G95" s="11" t="str">
        <x:v>防御入口／叠层</x:v>
      </x:c>
      <x:c r="H95" s="11" t="str">
        <x:v>技能牌进入月不额外烧血；本牌在冰开始则仍领取冰的技能产霜。</x:v>
      </x:c>
    </x:row>
    <x:row r="96" ht="28" customHeight="1">
      <x:c r="A96" s="3" t="str">
        <x:v>C06</x:v>
      </x:c>
      <x:c r="B96" s="3" t="str">
        <x:f>'64张卡牌'!K5</x:f>
        <x:v>弦月</x:v>
      </x:c>
      <x:c r="C96" s="23" t="n">
        <x:v>1</x:v>
      </x:c>
      <x:c r="D96" s="3" t="str">
        <x:v>否</x:v>
      </x:c>
      <x:c r="E96" s="27" t="n">
        <x:f>'64张卡牌'!K9</x:f>
        <x:v>1</x:v>
      </x:c>
      <x:c r="F96" s="3" t="str">
        <x:v>攻击</x:v>
      </x:c>
      <x:c r="G96" s="3" t="str">
        <x:v>基础攻击桥梁</x:v>
      </x:c>
      <x:c r="H96" s="3" t="str">
        <x:v>月形态有霜时可合计施加4月痕，但要付1生命、消耗1霜。</x:v>
      </x:c>
    </x:row>
    <x:row r="97" ht="28" customHeight="1">
      <x:c r="A97" s="11" t="str">
        <x:v>C11</x:v>
      </x:c>
      <x:c r="B97" s="11" t="str">
        <x:f>'64张卡牌'!P5</x:f>
        <x:v>退潮</x:v>
      </x:c>
      <x:c r="C97" s="23" t="n">
        <x:v>1</x:v>
      </x:c>
      <x:c r="D97" s="11" t="str">
        <x:v>否</x:v>
      </x:c>
      <x:c r="E97" s="28" t="n">
        <x:f>'64张卡牌'!P9</x:f>
        <x:v>1</x:v>
      </x:c>
      <x:c r="F97" s="11" t="str">
        <x:v>技能</x:v>
      </x:c>
      <x:c r="G97" s="11" t="str">
        <x:v>恢复／过牌／入口</x:v>
      </x:c>
      <x:c r="H97" s="11" t="str">
        <x:v>需要防御时不能把回生当作格挡；血月中使用会提前结束爆发。</x:v>
      </x:c>
    </x:row>
    <x:row r="98" ht="28" customHeight="1">
      <x:c r="A98" s="3" t="str">
        <x:v>C13</x:v>
      </x:c>
      <x:c r="B98" s="3" t="str">
        <x:f>'64张卡牌'!R5</x:f>
        <x:v>望舒</x:v>
      </x:c>
      <x:c r="C98" s="23" t="n">
        <x:v>1</x:v>
      </x:c>
      <x:c r="D98" s="3" t="str">
        <x:v>是</x:v>
      </x:c>
      <x:c r="E98" s="27" t="n">
        <x:f>'64张卡牌'!R10</x:f>
        <x:v>1</x:v>
      </x:c>
      <x:c r="F98" s="3" t="str">
        <x:v>技能</x:v>
      </x:c>
      <x:c r="G98" s="3" t="str">
        <x:v>抽牌／小额回生</x:v>
      </x:c>
      <x:c r="H98" s="3" t="str">
        <x:v>冰下侧重产霜，月下返少量自损；血月不同时被视为月。</x:v>
      </x:c>
    </x:row>
    <x:row r="99" ht="44" customHeight="1">
      <x:c r="A99" s="11" t="str">
        <x:v>C15</x:v>
      </x:c>
      <x:c r="B99" s="11" t="str">
        <x:f>'64张卡牌'!T5</x:f>
        <x:v>双弧</x:v>
      </x:c>
      <x:c r="C99" s="23" t="n">
        <x:v>1</x:v>
      </x:c>
      <x:c r="D99" s="11" t="str">
        <x:v>否</x:v>
      </x:c>
      <x:c r="E99" s="28" t="n">
        <x:f>'64张卡牌'!T9</x:f>
        <x:v>1</x:v>
      </x:c>
      <x:c r="F99" s="11" t="str">
        <x:v>攻击</x:v>
      </x:c>
      <x:c r="G99" s="11" t="str">
        <x:v>多段攻击／分次叠层</x:v>
      </x:c>
      <x:c r="H99" s="11" t="str">
        <x:v>每次施加独立结算，可先触发月蚀再打第二击；目标死亡取消后续攻击。</x:v>
      </x:c>
    </x:row>
    <x:row r="100" ht="28" customHeight="1">
      <x:c r="A100" s="3" t="str">
        <x:v>U17</x:v>
      </x:c>
      <x:c r="B100" s="3" t="str">
        <x:f>'64张卡牌'!AP5</x:f>
        <x:v>灼脉</x:v>
      </x:c>
      <x:c r="C100" s="23" t="n">
        <x:v>1</x:v>
      </x:c>
      <x:c r="D100" s="3" t="str">
        <x:v>否</x:v>
      </x:c>
      <x:c r="E100" s="27" t="n">
        <x:f>'64张卡牌'!AP9</x:f>
        <x:v>0</x:v>
      </x:c>
      <x:c r="F100" s="3" t="str">
        <x:v>技能</x:v>
      </x:c>
      <x:c r="G100" s="3" t="str">
        <x:v>付血换行动</x:v>
      </x:c>
      <x:c r="H100" s="3" t="str">
        <x:v>生命须能全额非致命支付；本牌之后才可能进入血月。</x:v>
      </x:c>
    </x:row>
    <x:row r="101" ht="28" customHeight="1">
      <x:c r="A101" s="11" t="str">
        <x:v>U18</x:v>
      </x:c>
      <x:c r="B101" s="11" t="str">
        <x:f>'64张卡牌'!AQ5</x:f>
        <x:v>回春</x:v>
      </x:c>
      <x:c r="C101" s="23" t="n">
        <x:v>1</x:v>
      </x:c>
      <x:c r="D101" s="11" t="str">
        <x:v>是</x:v>
      </x:c>
      <x:c r="E101" s="28" t="n">
        <x:f>'64张卡牌'!AQ10</x:f>
        <x:v>1</x:v>
      </x:c>
      <x:c r="F101" s="11" t="str">
        <x:v>技能</x:v>
      </x:c>
      <x:c r="G101" s="11" t="str">
        <x:v>治疗敌伤／重新蓄势</x:v>
      </x:c>
      <x:c r="H101" s="11" t="str">
        <x:v>是真正治疗，可超过可回收额度；实际恢复仍会先冲销可回收生命。</x:v>
      </x:c>
    </x:row>
    <x:row r="102" ht="28" customHeight="1">
      <x:c r="A102" s="3" t="str">
        <x:v>U19</x:v>
      </x:c>
      <x:c r="B102" s="3" t="str">
        <x:f>'64张卡牌'!AR5</x:f>
        <x:v>寒浴</x:v>
      </x:c>
      <x:c r="C102" s="23" t="n">
        <x:v>2</x:v>
      </x:c>
      <x:c r="D102" s="3" t="str">
        <x:v>是</x:v>
      </x:c>
      <x:c r="E102" s="27" t="n">
        <x:f>'64张卡牌'!AR10</x:f>
        <x:v>1</x:v>
      </x:c>
      <x:c r="F102" s="3" t="str">
        <x:v>技能</x:v>
      </x:c>
      <x:c r="G102" s="3" t="str">
        <x:v>大额自损返还</x:v>
      </x:c>
      <x:c r="H102" s="3" t="str">
        <x:v>不切形态，可在血月期间恢复而保留爆发窗口。</x:v>
      </x:c>
    </x:row>
    <x:row r="103" ht="44" customHeight="1">
      <x:c r="A103" s="11" t="str">
        <x:v>U20</x:v>
      </x:c>
      <x:c r="B103" s="11" t="str">
        <x:f>'64张卡牌'!AS5</x:f>
        <x:v>刺骨</x:v>
      </x:c>
      <x:c r="C103" s="23" t="n">
        <x:v>1</x:v>
      </x:c>
      <x:c r="D103" s="11" t="str">
        <x:v>否</x:v>
      </x:c>
      <x:c r="E103" s="28" t="n">
        <x:f>'64张卡牌'!AS9</x:f>
        <x:v>1</x:v>
      </x:c>
      <x:c r="F103" s="11" t="str">
        <x:v>能力</x:v>
      </x:c>
      <x:c r="G103" s="11" t="str">
        <x:v>自损事件回报</x:v>
      </x:c>
      <x:c r="H103" s="11" t="str">
        <x:v>同牌主支付与月被动分开也只能领取本回合第一次；敌伤、荆棘不触发。</x:v>
      </x:c>
    </x:row>
    <x:row r="104" ht="28" customHeight="1">
      <x:c r="A104" s="3" t="str">
        <x:v>U21</x:v>
      </x:c>
      <x:c r="B104" s="3" t="str">
        <x:f>'64张卡牌'!AT5</x:f>
        <x:v>留灯</x:v>
      </x:c>
      <x:c r="C104" s="23" t="n">
        <x:v>1</x:v>
      </x:c>
      <x:c r="D104" s="3" t="str">
        <x:v>否</x:v>
      </x:c>
      <x:c r="E104" s="27" t="n">
        <x:f>'64张卡牌'!AT9</x:f>
        <x:v>1</x:v>
      </x:c>
      <x:c r="F104" s="3" t="str">
        <x:v>技能</x:v>
      </x:c>
      <x:c r="G104" s="3" t="str">
        <x:v>付血后的防御／抽牌</x:v>
      </x:c>
      <x:c r="H104" s="3" t="str">
        <x:v>血月自身不自动烧血，但入场前的支付仍能满足本回合条件。</x:v>
      </x:c>
    </x:row>
    <x:row r="105" ht="28" customHeight="1">
      <x:c r="A105" s="11" t="str">
        <x:v>U22</x:v>
      </x:c>
      <x:c r="B105" s="11" t="str">
        <x:f>'64张卡牌'!AU5</x:f>
        <x:v>血线</x:v>
      </x:c>
      <x:c r="C105" s="23" t="n">
        <x:v>1</x:v>
      </x:c>
      <x:c r="D105" s="11" t="str">
        <x:v>是</x:v>
      </x:c>
      <x:c r="E105" s="28" t="n">
        <x:f>'64张卡牌'!AU10</x:f>
        <x:v>1</x:v>
      </x:c>
      <x:c r="F105" s="11" t="str">
        <x:v>攻击</x:v>
      </x:c>
      <x:c r="G105" s="11" t="str">
        <x:v>精细调血／弹性攻击</x:v>
      </x:c>
      <x:c r="H105" s="11" t="str">
        <x:v>月被动的额外支付不加入本牌增伤；不能选择导致生命归零的档位。</x:v>
      </x:c>
    </x:row>
    <x:row r="106" ht="28" customHeight="1">
      <x:c r="A106" s="3" t="str">
        <x:v>U28</x:v>
      </x:c>
      <x:c r="B106" s="3" t="str">
        <x:f>'64张卡牌'!BA5</x:f>
        <x:v>夜渡</x:v>
      </x:c>
      <x:c r="C106" s="23" t="n">
        <x:v>1</x:v>
      </x:c>
      <x:c r="D106" s="3" t="str">
        <x:v>否</x:v>
      </x:c>
      <x:c r="E106" s="27" t="n">
        <x:f>'64张卡牌'!BA9</x:f>
        <x:v>1</x:v>
      </x:c>
      <x:c r="F106" s="3" t="str">
        <x:v>技能</x:v>
      </x:c>
      <x:c r="G106" s="3" t="str">
        <x:v>可选出口／过牌</x:v>
      </x:c>
      <x:c r="H106" s="3" t="str">
        <x:v>血月→冰或月不计为冰月切换，不抽牌；相同形态也不抽。</x:v>
      </x:c>
    </x:row>
    <x:row r="107" ht="25" customHeight="1">
      <x:c r="A107" s="3"/>
      <x:c r="B107" s="9" t="str">
        <x:v>当前总张数</x:v>
      </x:c>
      <x:c r="C107" s="9" t="n">
        <x:f>SUM(C90:C106)</x:f>
        <x:v>20</x:v>
      </x:c>
      <x:c r="D107" s="9"/>
      <x:c r="E107" s="9"/>
      <x:c r="F107" s="3"/>
      <x:c r="G107" s="3"/>
      <x:c r="H107" s="3"/>
    </x:row>
    <x:row r="108" ht="25" customHeight="1">
      <x:c r="A108" s="3"/>
      <x:c r="B108" s="3"/>
      <x:c r="C108" s="3"/>
      <x:c r="D108" s="3"/>
      <x:c r="E108" s="3"/>
      <x:c r="F108" s="3"/>
      <x:c r="G108" s="3"/>
      <x:c r="H108" s="3"/>
    </x:row>
    <x:row r="109" ht="25" customHeight="1">
      <x:c r="A109" s="7" t="str">
        <x:v>先正常攻防；接近40%时用血线选档位或灼脉调整，留攻击和寒浴给血月；下一回合用余烬覆雪恢复。</x:v>
      </x:c>
      <x:c r="B109" s="3"/>
      <x:c r="C109" s="3"/>
      <x:c r="D109" s="3"/>
      <x:c r="E109" s="3"/>
      <x:c r="F109" s="3"/>
      <x:c r="G109" s="3"/>
      <x:c r="H109" s="3"/>
    </x:row>
    <x:row r="110" ht="25" customHeight="1">
      <x:c r="A110" s="7" t="str">
        <x:v>无稀有牌；两张寒浴均升级。不要从满血无目的烧到28。可用血月当空换寒锋、红莲葬雪换留灯。</x:v>
      </x:c>
      <x:c r="B110" s="3"/>
      <x:c r="C110" s="3"/>
      <x:c r="D110" s="3"/>
      <x:c r="E110" s="3"/>
      <x:c r="F110" s="3"/>
      <x:c r="G110" s="3"/>
      <x:c r="H110" s="3"/>
    </x:row>
    <x:row r="111" ht="25" customHeight="1">
      <x:c r="A111" s="3"/>
      <x:c r="B111" s="3"/>
      <x:c r="C111" s="3"/>
      <x:c r="D111" s="3"/>
      <x:c r="E111" s="3"/>
      <x:c r="F111" s="3"/>
      <x:c r="G111" s="3"/>
      <x:c r="H111" s="3"/>
    </x:row>
  </x:sheetData>
  <x:dataValidations count="4">
    <x:dataValidation type="whole" operator="between" sqref="C10:C27">
      <x:formula1>0</x:formula1>
      <x:formula2>10</x:formula2>
    </x:dataValidation>
    <x:dataValidation type="whole" operator="between" sqref="C38:C52">
      <x:formula1>0</x:formula1>
      <x:formula2>10</x:formula2>
    </x:dataValidation>
    <x:dataValidation type="whole" operator="between" sqref="C63:C79">
      <x:formula1>0</x:formula1>
      <x:formula2>10</x:formula2>
    </x:dataValidation>
    <x:dataValidation type="whole" operator="between" sqref="C90:C106">
      <x:formula1>0</x:formula1>
      <x:formula2>10</x:formula2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65518C"/>
  </x:sheetPr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30.559999465942383" hidden="0" customWidth="1"/>
    <x:col min="2" max="2" width="15" hidden="0" customWidth="1"/>
    <x:col min="3" max="3" width="94.44000244140625" hidden="0" customWidth="1"/>
    <x:col min="4" max="4" width="69.44000244140625" hidden="0" customWidth="1"/>
  </x:cols>
  <x:sheetData>
    <x:row r="1" ht="32" customHeight="1">
      <x:c r="A1" s="5" t="str">
        <x:v>霜月 v0.2 · 参数与局部算术</x:v>
      </x:c>
      <x:c r="B1" s="3"/>
      <x:c r="C1" s="3"/>
      <x:c r="D1" s="3"/>
    </x:row>
    <x:row r="2" ht="25" customHeight="1">
      <x:c r="A2" s="7" t="str">
        <x:v>黄色格可改。这里只重算阈值、月蚀和资源算术；卡面与说明文档仍是v0.2种子快照。</x:v>
      </x:c>
      <x:c r="B2" s="3"/>
      <x:c r="C2" s="3"/>
      <x:c r="D2" s="3"/>
    </x:row>
    <x:row r="3" ht="25" customHeight="1">
      <x:c r="A3" s="8"/>
      <x:c r="B3" s="8"/>
      <x:c r="C3" s="8"/>
      <x:c r="D3" s="8"/>
    </x:row>
    <x:row r="4" ht="25" customHeight="1">
      <x:c r="A4" s="7" t="str">
        <x:v>每次只改一类参数。先看阈值可控性与资源收支，不把局部伤害计算当作战斗胜率。</x:v>
      </x:c>
      <x:c r="B4" s="3"/>
      <x:c r="C4" s="3"/>
      <x:c r="D4" s="3"/>
    </x:row>
    <x:row r="6" ht="32" customHeight="1">
      <x:c r="A6" s="15" t="str">
        <x:v>参数</x:v>
      </x:c>
      <x:c r="B6" s="15" t="str">
        <x:v>数值 · 可改</x:v>
      </x:c>
      <x:c r="C6" s="15" t="str">
        <x:v>建议对照</x:v>
      </x:c>
      <x:c r="D6" s="15" t="str">
        <x:v>调整时观察</x:v>
      </x:c>
    </x:row>
    <x:row r="7" ht="28" customHeight="1">
      <x:c r="A7" s="3" t="str">
        <x:v>最大生命</x:v>
      </x:c>
      <x:c r="B7" s="23" t="n">
        <x:v>72</x:v>
      </x:c>
      <x:c r="C7" s="3" t="str">
        <x:v>68 / 72 / 76</x:v>
      </x:c>
      <x:c r="D7" s="3" t="str">
        <x:v>同时影响低血与重新蓄势线。</x:v>
      </x:c>
    </x:row>
    <x:row r="8" ht="28" customHeight="1">
      <x:c r="A8" s="11" t="str">
        <x:v>基础每回合能量</x:v>
      </x:c>
      <x:c r="B8" s="23" t="n">
        <x:v>3</x:v>
      </x:c>
      <x:c r="C8" s="11" t="str">
        <x:v>固定3</x:v>
      </x:c>
      <x:c r="D8" s="11" t="str">
        <x:v>在角色机制未稳定前不添加额外基础能量。</x:v>
      </x:c>
    </x:row>
    <x:row r="9" ht="28" customHeight="1">
      <x:c r="A9" s="3" t="str">
        <x:v>基础每回合抽牌</x:v>
      </x:c>
      <x:c r="B9" s="23" t="n">
        <x:v>5</x:v>
      </x:c>
      <x:c r="C9" s="3" t="str">
        <x:v>固定5</x:v>
      </x:c>
      <x:c r="D9" s="3" t="str">
        <x:v>检验切换牌和回生牌是否能及时到手。</x:v>
      </x:c>
    </x:row>
    <x:row r="10" ht="28" customHeight="1">
      <x:c r="A10" s="11" t="str">
        <x:v>霜基础上限</x:v>
      </x:c>
      <x:c r="B10" s="23" t="n">
        <x:v>6</x:v>
      </x:c>
      <x:c r="C10" s="11" t="str">
        <x:v>6 / 8</x:v>
      </x:c>
      <x:c r="D10" s="11" t="str">
        <x:v>过低会过度溢出；过高会弱化控霜决策。</x:v>
      </x:c>
    </x:row>
    <x:row r="11" ht="28" customHeight="1">
      <x:c r="A11" s="3" t="str">
        <x:v>冰每回合技能产霜次数</x:v>
      </x:c>
      <x:c r="B11" s="23" t="n">
        <x:v>2</x:v>
      </x:c>
      <x:c r="C11" s="3" t="str">
        <x:v>2</x:v>
      </x:c>
      <x:c r="D11" s="3" t="str">
        <x:v>主动切形态不重置。</x:v>
      </x:c>
    </x:row>
    <x:row r="12" ht="28" customHeight="1">
      <x:c r="A12" s="11" t="str">
        <x:v>每次冰技能产霜</x:v>
      </x:c>
      <x:c r="B12" s="23" t="n">
        <x:v>1</x:v>
      </x:c>
      <x:c r="C12" s="11" t="str">
        <x:v>1</x:v>
      </x:c>
      <x:c r="D12" s="11" t="str">
        <x:v>普通版霜资源供给速度。</x:v>
      </x:c>
    </x:row>
    <x:row r="13" ht="28" customHeight="1">
      <x:c r="A13" s="3" t="str">
        <x:v>冰每回合首次月蚀回生</x:v>
      </x:c>
      <x:c r="B13" s="23" t="n">
        <x:v>2</x:v>
      </x:c>
      <x:c r="C13" s="3" t="str">
        <x:v>1 / 2 / 3</x:v>
      </x:c>
      <x:c r="D13" s="3" t="str">
        <x:v>让月的布局能支持冰的恢复。</x:v>
      </x:c>
    </x:row>
    <x:row r="14" ht="28" customHeight="1">
      <x:c r="A14" s="11" t="str">
        <x:v>月每回合附加月痕次数</x:v>
      </x:c>
      <x:c r="B14" s="23" t="n">
        <x:v>2</x:v>
      </x:c>
      <x:c r="C14" s="11" t="str">
        <x:v>1 / 2 / 3</x:v>
      </x:c>
      <x:c r="D14" s="11" t="str">
        <x:v>每张单体攻击算一次，多段不加次数。</x:v>
      </x:c>
    </x:row>
    <x:row r="15" ht="28" customHeight="1">
      <x:c r="A15" s="3" t="str">
        <x:v>月每次被动支付生命</x:v>
      </x:c>
      <x:c r="B15" s="23" t="n">
        <x:v>1</x:v>
      </x:c>
      <x:c r="C15" s="3" t="str">
        <x:v>1 / 2</x:v>
      </x:c>
      <x:c r="D15" s="3" t="str">
        <x:v>烧血速度与被动月痕收益绑定。</x:v>
      </x:c>
    </x:row>
    <x:row r="16" ht="28" customHeight="1">
      <x:c r="A16" s="11" t="str">
        <x:v>月被动基础月痕</x:v>
      </x:c>
      <x:c r="B16" s="23" t="n">
        <x:v>1</x:v>
      </x:c>
      <x:c r="C16" s="11" t="str">
        <x:v>1</x:v>
      </x:c>
      <x:c r="D16" s="11" t="str">
        <x:v>有霜时再多施加1。</x:v>
      </x:c>
    </x:row>
    <x:row r="17" ht="28" customHeight="1">
      <x:c r="A17" s="3" t="str">
        <x:v>月每消耗1霜额外月痕</x:v>
      </x:c>
      <x:c r="B17" s="23" t="n">
        <x:v>1</x:v>
      </x:c>
      <x:c r="C17" s="3" t="str">
        <x:v>1 / 2</x:v>
      </x:c>
      <x:c r="D17" s="3" t="str">
        <x:v>需要与基础叠痕牌一起算阈值效率。</x:v>
      </x:c>
    </x:row>
    <x:row r="18" ht="28" customHeight="1">
      <x:c r="A18" s="11" t="str">
        <x:v>月痕阈值</x:v>
      </x:c>
      <x:c r="B18" s="23" t="n">
        <x:v>8</x:v>
      </x:c>
      <x:c r="C18" s="11" t="str">
        <x:v>8 / 10</x:v>
      </x:c>
      <x:c r="D18" s="11" t="str">
        <x:v>扣阈值保留溢出，每个敌人独立。</x:v>
      </x:c>
    </x:row>
    <x:row r="19" ht="28" customHeight="1">
      <x:c r="A19" s="3" t="str">
        <x:v>月蚀每击基础伤害</x:v>
      </x:c>
      <x:c r="B19" s="23" t="n">
        <x:v>4</x:v>
      </x:c>
      <x:c r="C19" s="3" t="str">
        <x:v>3 / 4</x:v>
      </x:c>
      <x:c r="D19" s="3" t="str">
        <x:v>与段数分开测试。</x:v>
      </x:c>
    </x:row>
    <x:row r="20" ht="28" customHeight="1">
      <x:c r="A20" s="11" t="str">
        <x:v>月蚀基础击数</x:v>
      </x:c>
      <x:c r="B20" s="23" t="n">
        <x:v>4</x:v>
      </x:c>
      <x:c r="C20" s="11" t="str">
        <x:v>3 / 4</x:v>
      </x:c>
      <x:c r="D20" s="11" t="str">
        <x:v>改变段数会同时改变潮汐格挡。</x:v>
      </x:c>
    </x:row>
    <x:row r="21" ht="28" customHeight="1">
      <x:c r="A21" s="3" t="str">
        <x:v>血月触发比例</x:v>
      </x:c>
      <x:c r="B21" s="35" t="n">
        <x:v>0.4</x:v>
      </x:c>
      <x:c r="C21" s="3" t="str">
        <x:v>0.35 / 0.40 / 0.45</x:v>
      </x:c>
      <x:c r="D21" s="3" t="str">
        <x:v>向下取整；实际生命不高于该值。</x:v>
      </x:c>
    </x:row>
    <x:row r="22" ht="28" customHeight="1">
      <x:c r="A22" s="11" t="str">
        <x:v>血月重新蓄势比例</x:v>
      </x:c>
      <x:c r="B22" s="35" t="n">
        <x:v>0.55</x:v>
      </x:c>
      <x:c r="C22" s="11" t="str">
        <x:v>0.50 / 0.55 / 0.60</x:v>
      </x:c>
      <x:c r="D22" s="11" t="str">
        <x:v>向上取整；必须高于低线。</x:v>
      </x:c>
    </x:row>
    <x:row r="23" ht="28" customHeight="1">
      <x:c r="A23" s="3" t="str">
        <x:v>血月伤害倍率</x:v>
      </x:c>
      <x:c r="B23" s="23" t="n">
        <x:v>2</x:v>
      </x:c>
      <x:c r="C23" s="3" t="str">
        <x:v>固定2</x:v>
      </x:c>
      <x:c r="D23" s="3" t="str">
        <x:v>只覆盖攻击牌与月蚀，不翻倍所有生命流失。</x:v>
      </x:c>
    </x:row>
    <x:row r="24" ht="28" customHeight="1">
      <x:c r="A24" s="11" t="str">
        <x:v>血月后的完整禁触发回合</x:v>
      </x:c>
      <x:c r="B24" s="23" t="n">
        <x:v>1</x:v>
      </x:c>
      <x:c r="C24" s="11" t="str">
        <x:v>1</x:v>
      </x:c>
      <x:c r="D24" s="11" t="str">
        <x:v>额外自己的回合也计入。</x:v>
      </x:c>
    </x:row>
    <x:row r="25" ht="28" customHeight="1">
      <x:c r="A25" s="3" t="str">
        <x:v>余烬覆雪基础格挡</x:v>
      </x:c>
      <x:c r="B25" s="23" t="n">
        <x:v>6</x:v>
      </x:c>
      <x:c r="C25" s="3" t="str">
        <x:v>4 / 6 / 8</x:v>
      </x:c>
      <x:c r="D25" s="3" t="str">
        <x:v>优先调整这个补偿，不用巨大惩罚制造空白回合。</x:v>
      </x:c>
    </x:row>
    <x:row r="26" ht="28" customHeight="1">
      <x:c r="A26" s="11" t="str">
        <x:v>余烬覆雪基础回生</x:v>
      </x:c>
      <x:c r="B26" s="23" t="n">
        <x:v>3</x:v>
      </x:c>
      <x:c r="C26" s="11" t="str">
        <x:v>2 / 3 / 4</x:v>
      </x:c>
      <x:c r="D26" s="11" t="str">
        <x:v>属于返还自损，不是凭空治疗。</x:v>
      </x:c>
    </x:row>
    <x:row r="29" ht="32" customHeight="1">
      <x:c r="A29" s="15" t="str">
        <x:v>局部指标</x:v>
      </x:c>
      <x:c r="B29" s="15" t="str">
        <x:v>计算结果</x:v>
      </x:c>
      <x:c r="C29" s="15" t="str">
        <x:v>成立条件</x:v>
      </x:c>
    </x:row>
    <x:row r="30" ht="28" customHeight="1">
      <x:c r="A30" s="3" t="str">
        <x:v>血月低线</x:v>
      </x:c>
      <x:c r="B30" s="16" t="n">
        <x:f>IF(AND(ISNUMBER(B7),ISNUMBER(B21),B7&gt;0,B21&gt;0,B21&lt;1),ROUNDDOWN(B7*B21,0),"请检查生命与比例")</x:f>
        <x:v>28</x:v>
      </x:c>
      <x:c r="C30" s="3" t="str">
        <x:v>生命不高于此值时才满足低血条件</x:v>
      </x:c>
    </x:row>
    <x:row r="31" ht="28" customHeight="1">
      <x:c r="A31" s="11" t="str">
        <x:v>重新蓄势高线</x:v>
      </x:c>
      <x:c r="B31" s="17" t="n">
        <x:f>IF(AND(ISNUMBER(B7),ISNUMBER(B22),B7&gt;0,B22&gt;0,B22&lt;=1),ROUNDUP(B7*B22,0),"请检查生命与比例")</x:f>
        <x:v>40</x:v>
      </x:c>
      <x:c r="C31" s="11" t="str">
        <x:v>退出血月后，须达到该值才能再次蓄势</x:v>
      </x:c>
    </x:row>
    <x:row r="32" ht="28" customHeight="1">
      <x:c r="A32" s="3" t="str">
        <x:v>两条线间隔</x:v>
      </x:c>
      <x:c r="B32" s="16" t="n">
        <x:f>IF(AND(ISNUMBER(B30),ISNUMBER(B31),B31&gt;B30),B31-B30,"高线须大于低线")</x:f>
        <x:v>12</x:v>
      </x:c>
      <x:c r="C32" s="3" t="str">
        <x:v>这个差值决定回血与再次压血的幅度</x:v>
      </x:c>
    </x:row>
    <x:row r="33" ht="28" customHeight="1">
      <x:c r="A33" s="11" t="str">
        <x:v>完整月蚀基础伤害</x:v>
      </x:c>
      <x:c r="B33" s="17" t="n">
        <x:f>B19*B20</x:f>
        <x:v>16</x:v>
      </x:c>
      <x:c r="C33" s="11" t="str">
        <x:v>目标存活且无格挡、无伤害上限的基础值</x:v>
      </x:c>
    </x:row>
    <x:row r="34" ht="28" customHeight="1">
      <x:c r="A34" s="3" t="str">
        <x:v>血月中的完整月蚀</x:v>
      </x:c>
      <x:c r="B34" s="16" t="n">
        <x:f>B33*B23</x:f>
        <x:v>32</x:v>
      </x:c>
      <x:c r="C34" s="3" t="str">
        <x:v>倍率不增加击数</x:v>
      </x:c>
    </x:row>
    <x:row r="35" ht="28" customHeight="1">
      <x:c r="A35" s="11" t="str">
        <x:v>潮汐基础版一次格挡</x:v>
      </x:c>
      <x:c r="B35" s="17" t="n">
        <x:f>B20</x:f>
        <x:v>4</x:v>
      </x:c>
      <x:c r="C35" s="11" t="str">
        <x:v>每击1格挡；目标提前死亡需减少击数</x:v>
      </x:c>
    </x:row>
    <x:row r="36" ht="28" customHeight="1">
      <x:c r="A36" s="3" t="str">
        <x:v>碎月成星基础版伤害</x:v>
      </x:c>
      <x:c r="B36" s="16" t="n">
        <x:f>MAX(1,B19-1)*(B20+2)</x:f>
        <x:v>18</x:v>
      </x:c>
      <x:c r="C36" s="3" t="str">
        <x:v>单个未升级能力，无其他修正</x:v>
      </x:c>
    </x:row>
    <x:row r="37" ht="28" customHeight="1">
      <x:c r="A37" s="11" t="str">
        <x:v>碎月成星升级版伤害</x:v>
      </x:c>
      <x:c r="B37" s="17" t="n">
        <x:f>B19*(B20+2)</x:f>
        <x:v>24</x:v>
      </x:c>
      <x:c r="C37" s="11" t="str">
        <x:v>单个已升级能力，无其他修正</x:v>
      </x:c>
    </x:row>
    <x:row r="40" ht="32" customHeight="1">
      <x:c r="A40" s="15" t="str">
        <x:v>回生算术</x:v>
      </x:c>
      <x:c r="B40" s="15" t="str">
        <x:v>数值 · 可改</x:v>
      </x:c>
      <x:c r="C40" s="15" t="str">
        <x:v>说明</x:v>
      </x:c>
    </x:row>
    <x:row r="41" ht="28" customHeight="1">
      <x:c r="A41" s="3" t="str">
        <x:v>当前生命</x:v>
      </x:c>
      <x:c r="B41" s="23" t="n">
        <x:v>31</x:v>
      </x:c>
      <x:c r="C41" s="3" t="str">
        <x:v>不高于最大生命</x:v>
      </x:c>
    </x:row>
    <x:row r="42" ht="28" customHeight="1">
      <x:c r="A42" s="11" t="str">
        <x:v>可回收生命</x:v>
      </x:c>
      <x:c r="B42" s="23" t="n">
        <x:v>7</x:v>
      </x:c>
      <x:c r="C42" s="11" t="str">
        <x:v>仅未被恢复抵消的本场主动支付</x:v>
      </x:c>
    </x:row>
    <x:row r="43" ht="28" customHeight="1">
      <x:c r="A43" s="3" t="str">
        <x:v>回生请求</x:v>
      </x:c>
      <x:c r="B43" s="23" t="n">
        <x:v>6</x:v>
      </x:c>
      <x:c r="C43" s="3" t="str">
        <x:v>牌面提出的恢复量</x:v>
      </x:c>
    </x:row>
    <x:row r="44" ht="28" customHeight="1">
      <x:c r="A44" s="11" t="str">
        <x:v>实际恢复</x:v>
      </x:c>
      <x:c r="B44" s="17" t="n">
        <x:f>IF(AND(ISNUMBER(B41),ISNUMBER(B42),ISNUMBER(B43),B41&gt;0,B41&lt;=B7,B42&gt;=0,B43&gt;=0),MIN(B43,B42,B7-B41),"输入无效")</x:f>
        <x:v>6</x:v>
      </x:c>
      <x:c r="C44" s="11" t="str">
        <x:v>受到额度与缺失生命双重限制</x:v>
      </x:c>
    </x:row>
    <x:row r="45" ht="28" customHeight="1">
      <x:c r="A45" s="3" t="str">
        <x:v>恢复后生命</x:v>
      </x:c>
      <x:c r="B45" s="16" t="n">
        <x:f>IF(ISNUMBER(B44),B41+B44,"输入无效")</x:f>
        <x:v>37</x:v>
      </x:c>
      <x:c r="C45" s="3" t="str">
        <x:v>不代表完整战斗模拟</x:v>
      </x:c>
    </x:row>
    <x:row r="46" ht="28" customHeight="1">
      <x:c r="A46" s="11" t="str">
        <x:v>恢复后额度</x:v>
      </x:c>
      <x:c r="B46" s="17" t="n">
        <x:f>IF(ISNUMBER(B44),MAX(0,B42-B44),"输入无效")</x:f>
        <x:v>1</x:v>
      </x:c>
      <x:c r="C46" s="11" t="str">
        <x:v>真正治疗也要冲销额度</x:v>
      </x:c>
    </x:row>
    <x:row r="48" ht="25" customHeight="1">
      <x:c r="A48" s="32" t="str">
        <x:v>本表不实现抽牌、敌人意图、格挡、伤害管线或战斗结算；用于审查设计参数之间的算术关系。</x:v>
      </x:c>
    </x:row>
  </x:sheetData>
  <x:dataValidations count="4">
    <x:dataValidation type="whole" operator="between" sqref="B7:B20">
      <x:formula1>0</x:formula1>
      <x:formula2>999</x:formula2>
    </x:dataValidation>
    <x:dataValidation type="whole" operator="between" sqref="B23:B26">
      <x:formula1>0</x:formula1>
      <x:formula2>999</x:formula2>
    </x:dataValidation>
    <x:dataValidation type="decimal" operator="between" sqref="B21">
      <x:formula1>0</x:formula1>
      <x:formula2>1</x:formula2>
    </x:dataValidation>
    <x:dataValidation type="decimal" operator="between" sqref="B22">
      <x:formula1>0</x:formula1>
      <x:formula2>1</x:formula2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rgb="FF65518C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20" hidden="0" customWidth="1"/>
    <x:col min="2" max="2" width="37.779998779296875" hidden="0" customWidth="1"/>
    <x:col min="3" max="3" width="57.779998779296875" hidden="0" customWidth="1"/>
    <x:col min="4" max="4" width="66.66999816894531" hidden="0" customWidth="1"/>
  </x:cols>
  <x:sheetData>
    <x:row r="1" ht="32" customHeight="1">
      <x:c r="A1" s="5" t="str">
        <x:v>霜月 v0.2 · 衍生牌与灵感来源</x:v>
      </x:c>
      <x:c r="B1" s="3"/>
      <x:c r="C1" s="3"/>
      <x:c r="D1" s="3"/>
    </x:row>
    <x:row r="2" ht="25" customHeight="1">
      <x:c r="A2" s="7" t="str">
        <x:v>衍生牌不计入64张角色卡池。下方资料是机制启发；全部卡牌和数值为本次原创设计。</x:v>
      </x:c>
      <x:c r="B2" s="3"/>
      <x:c r="C2" s="3"/>
      <x:c r="D2" s="3"/>
    </x:row>
    <x:row r="3" ht="25" customHeight="1">
      <x:c r="A3" s="8"/>
      <x:c r="B3" s="8"/>
      <x:c r="C3" s="8"/>
      <x:c r="D3" s="8"/>
    </x:row>
    <x:row r="4" ht="25" customHeight="1">
      <x:c r="A4" s="7" t="str">
        <x:v>起始牌：寒锋×4、凝霜×4、映月×1、归冬×1。初始遗物：双相佩。</x:v>
      </x:c>
      <x:c r="B4" s="3"/>
      <x:c r="C4" s="3"/>
      <x:c r="D4" s="3"/>
    </x:row>
    <x:row r="5" ht="32" customHeight="1">
      <x:c r="A5" s="15" t="str">
        <x:v>衍生卡名</x:v>
      </x:c>
      <x:c r="B5" s="15" t="str">
        <x:v>余烬覆雪</x:v>
      </x:c>
      <x:c r="C5" s="15" t="str">
        <x:v>月屑</x:v>
      </x:c>
    </x:row>
    <x:row r="6" ht="28" customHeight="1">
      <x:c r="A6" s="10" t="str">
        <x:v>ID</x:v>
      </x:c>
      <x:c r="B6" s="11" t="str">
        <x:v>T01</x:v>
      </x:c>
      <x:c r="C6" s="11" t="str">
        <x:v>T02</x:v>
      </x:c>
    </x:row>
    <x:row r="7" ht="28" customHeight="1">
      <x:c r="A7" s="10" t="str">
        <x:v>费用</x:v>
      </x:c>
      <x:c r="B7" s="3" t="n">
        <x:v>0</x:v>
      </x:c>
      <x:c r="C7" s="3" t="n">
        <x:v>0</x:v>
      </x:c>
    </x:row>
    <x:row r="8" ht="28" customHeight="1">
      <x:c r="A8" s="10" t="str">
        <x:v>基础效果</x:v>
      </x:c>
      <x:c r="B8" s="11" t="str">
        <x:v>保留。获得6格挡。回生3。消耗。</x:v>
      </x:c>
      <x:c r="C8" s="11" t="str">
        <x:v>保留。施加2月痕。消耗。</x:v>
      </x:c>
    </x:row>
    <x:row r="9" ht="28" customHeight="1">
      <x:c r="A9" s="10" t="str">
        <x:v>升级后效果</x:v>
      </x:c>
      <x:c r="B9" s="3" t="str">
        <x:v>保留。获得9格挡。回生4。消耗。</x:v>
      </x:c>
      <x:c r="C9" s="3" t="str">
        <x:v>保留。施加3月痕。消耗。</x:v>
      </x:c>
    </x:row>
    <x:row r="10" ht="44" customHeight="1">
      <x:c r="A10" s="10" t="str">
        <x:v>来源与时点</x:v>
      </x:c>
      <x:c r="B10" s="11" t="str">
        <x:v>血月退出时预约；下个自身回合开始时、常规抽牌后加入手牌。每次血月只预约1张普通版。</x:v>
      </x:c>
      <x:c r="C10" s="11" t="str">
        <x:v>悬月／悬月+每回合第一次月蚀后生成。</x:v>
      </x:c>
    </x:row>
    <x:row r="11" ht="60" customHeight="1">
      <x:c r="A11" s="10" t="str">
        <x:v>边界</x:v>
      </x:c>
      <x:c r="B11" s="3" t="str">
        <x:v>不占用永久牌组；手牌满则按生成牌溢出规则送弃牌堆。能被外部升级，但默认不会生成升级版。</x:v>
      </x:c>
      <x:c r="C11" s="3" t="str">
        <x:v>0费但仍是一张技能牌；在冰可领取剩余的技能产霜次数。</x:v>
      </x:c>
    </x:row>
    <x:row r="14" ht="32" customHeight="1">
      <x:c r="A14" s="15" t="str">
        <x:v>起始项目</x:v>
      </x:c>
      <x:c r="B14" s="15" t="str">
        <x:v>值</x:v>
      </x:c>
      <x:c r="C14" s="15" t="str">
        <x:v>说明</x:v>
      </x:c>
    </x:row>
    <x:row r="15" ht="28" customHeight="1">
      <x:c r="A15" s="3" t="str">
        <x:v>最大生命</x:v>
      </x:c>
      <x:c r="B15" s="3" t="n">
        <x:v>72</x:v>
      </x:c>
      <x:c r="C15" s="3" t="str">
        <x:v>起测值</x:v>
      </x:c>
    </x:row>
    <x:row r="16" ht="28" customHeight="1">
      <x:c r="A16" s="11" t="str">
        <x:v>基础能量</x:v>
      </x:c>
      <x:c r="B16" s="11" t="n">
        <x:v>3</x:v>
      </x:c>
      <x:c r="C16" s="11" t="str">
        <x:v>每回合</x:v>
      </x:c>
    </x:row>
    <x:row r="17" ht="28" customHeight="1">
      <x:c r="A17" s="3" t="str">
        <x:v>基础抽牌</x:v>
      </x:c>
      <x:c r="B17" s="3" t="n">
        <x:v>5</x:v>
      </x:c>
      <x:c r="C17" s="3" t="str">
        <x:v>每回合</x:v>
      </x:c>
    </x:row>
    <x:row r="18" ht="28" customHeight="1">
      <x:c r="A18" s="11" t="str">
        <x:v>初始形态</x:v>
      </x:c>
      <x:c r="B18" s="11" t="str">
        <x:v>冰</x:v>
      </x:c>
      <x:c r="C18" s="11" t="str">
        <x:v>所有战斗默认进入冰；低血时在自己的开始检查点可进血月</x:v>
      </x:c>
    </x:row>
    <x:row r="19" ht="28" customHeight="1">
      <x:c r="A19" s="3" t="str">
        <x:v>初始遗物</x:v>
      </x:c>
      <x:c r="B19" s="3" t="str">
        <x:v>双相佩</x:v>
      </x:c>
      <x:c r="C19" s="3" t="str">
        <x:v>战斗开始时获得2霜。每回合首次主动在冰与月之间实际切换时，获得3格挡。</x:v>
      </x:c>
    </x:row>
    <x:row r="22" ht="32" customHeight="1">
      <x:c r="A22" s="15" t="str">
        <x:v>参考</x:v>
      </x:c>
      <x:c r="B22" s="15" t="str">
        <x:v>机制启发</x:v>
      </x:c>
      <x:c r="C22" s="15" t="str">
        <x:v>本案取舍</x:v>
      </x:c>
      <x:c r="D22" s="15" t="str">
        <x:v>资料链接</x:v>
      </x:c>
    </x:row>
    <x:row r="23" ht="28" customHeight="1">
      <x:c r="A23" s="3" t="str">
        <x:v>观者猛虎下山</x:v>
      </x:c>
      <x:c r="B23" s="3" t="str">
        <x:v>切换事件可以提供抽牌动力。</x:v>
      </x:c>
      <x:c r="C23" s="3" t="str">
        <x:v>本案切换回报限制每回合次数；避免给冰月切换常驻无限返能返牌。</x:v>
      </x:c>
      <x:c r="D23" s="3" t="str">
        <x:v>https://www.slaythespire.gg/cards/watcher/Rushdown</x:v>
      </x:c>
    </x:row>
    <x:row r="24" ht="28" customHeight="1">
      <x:c r="A24" s="11" t="str">
        <x:v>观者神格</x:v>
      </x:c>
      <x:c r="B24" s="11" t="str">
        <x:v>神格提供短期攻击爆发；原版攻击倍率是3倍。</x:v>
      </x:c>
      <x:c r="C24" s="11" t="str">
        <x:v>本案血月采用用户提出的2倍，且不额外赠送3能量；月蚀明确纳入倍率。</x:v>
      </x:c>
      <x:c r="D24" s="11" t="str">
        <x:v>https://slay-the-spire.fandom.com/wiki/Divinity</x:v>
      </x:c>
    </x:row>
    <x:row r="25" ht="28" customHeight="1">
      <x:c r="A25" s="3" t="str">
        <x:v>铁甲收割</x:v>
      </x:c>
      <x:c r="B25" s="3" t="str">
        <x:v>输出与恢复可以写在同一张牌里。</x:v>
      </x:c>
      <x:c r="C25" s="3" t="str">
        <x:v>红莲葬雪改为有额度、有上限的回生，避免伤害成长同时无限抬高治疗。</x:v>
      </x:c>
      <x:c r="D25" s="3" t="str">
        <x:v>https://www.slaythespire.gg/cards/ironclad/Reaper</x:v>
      </x:c>
    </x:row>
    <x:row r="26" ht="44" customHeight="1">
      <x:c r="A26" s="11" t="str">
        <x:v>万智牌 Fateful Hour</x:v>
      </x:c>
      <x:c r="B26" s="11" t="str">
        <x:v>低生命会改变牌的作用；原机制回血超过临界值时会立刻失效。</x:v>
      </x:c>
      <x:c r="C26" s="11" t="str">
        <x:v>血月在入场后锁定到回合末，因此玩家敢于在爆发中回血。</x:v>
      </x:c>
      <x:c r="D26" s="11" t="str">
        <x:v>https://magic.wizards.com/en/news/feature/dark-ascension-mechanics</x:v>
      </x:c>
    </x:row>
    <x:row r="27" ht="44" customHeight="1">
      <x:c r="A27" s="3" t="str">
        <x:v>Mark Rosewater 回顾</x:v>
      </x:c>
      <x:c r="B27" s="3" t="str">
        <x:v>作者认为5点或以下生命的触发空间过窄，难以支撑足够设计。</x:v>
      </x:c>
      <x:c r="C27" s="3" t="str">
        <x:v>血月专属牌只占少数，并保留非血月用途；避免整套卡池必须濒死才有价值。</x:v>
      </x:c>
      <x:c r="D27" s="3" t="str">
        <x:v>https://magic.wizards.com/en/news/making-magic/trivial-pursuit-all-innistrad</x:v>
      </x:c>
    </x:row>
    <x:row r="28" ht="28" customHeight="1">
      <x:c r="A28" s="11" t="str">
        <x:v>Bloodborne 回血窗口</x:v>
      </x:c>
      <x:c r="B28" s="11" t="str">
        <x:v>受伤后仍有机会通过进攻挽回部分生命。</x:v>
      </x:c>
      <x:c r="C28" s="11" t="str">
        <x:v>本案只记录主动支付的可回收生命，改成回合制调度；不照搬实时计时器。</x:v>
      </x:c>
      <x:c r="D28" s="11" t="str">
        <x:v>https://blog.ja.playstation.com/2015/03/13/20150313_bloodborne/</x:v>
      </x:c>
    </x:row>
    <x:row r="29" ht="44" customHeight="1">
      <x:c r="A29" s="3" t="str">
        <x:v>若叶睦既有源码研究</x:v>
      </x:c>
      <x:c r="B29" s="3" t="str">
        <x:v>此前已研究普通牌桥梁、构筑支点和功能升级的分布。</x:v>
      </x:c>
      <x:c r="C29" s="3" t="str">
        <x:v>让普通牌先建立资源交互，稀有牌加强引擎；这些是设计启发，不是照抄该Mod效果。</x:v>
      </x:c>
      <x:c r="D29" s="3" t="str">
        <x:v>https://github.com/FFTYYY/sts2-MzmChar-mod/tree/03dc9add4db955351e05bcfce06cf2889f25a695</x:v>
      </x:c>
    </x:row>
    <x:row r="32" ht="25" customHeight="1">
      <x:c r="A32" s="32" t="str">
        <x:v>资料核对日期：2026-10-06。旧若叶睦研究固定在已有提交，未宣称它代表该Mod的最新版本。</x:v>
      </x:c>
    </x:row>
  </x:sheetData>
  <x:pageMargins left="0.7" right="0.7" top="0.75" bottom="0.75" header="0.3" footer="0.3"/>
</x:worksheet>
</file>