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6528b0a80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构筑包总览" sheetId="1" r:id="Rc5329db0db534be6"/>
    <x:sheet xmlns:r="http://schemas.openxmlformats.org/officeDocument/2006/relationships" name="75张卡牌" sheetId="2" r:id="R3c15042e51624aa0"/>
    <x:sheet xmlns:r="http://schemas.openxmlformats.org/officeDocument/2006/relationships" name="分包卡牌" sheetId="3" r:id="R24087955b68245ec"/>
    <x:sheet xmlns:r="http://schemas.openxmlformats.org/officeDocument/2006/relationships" name="衍生牌与规则" sheetId="4" r:id="Rc56868ee9a1b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253047"/>
      <x:name val="Arial"/>
    </x:font>
    <x:font>
      <x:b/>
      <x:sz val="16"/>
      <x:color rgb="FF29334D"/>
      <x:name val="Arial"/>
    </x:font>
    <x:font>
      <x:i/>
      <x:sz val="11"/>
      <x:color rgb="FF647087"/>
      <x:name val="Arial"/>
    </x:font>
    <x:font>
      <x:b/>
      <x:sz val="11"/>
      <x:color rgb="FF65518C"/>
      <x:name val="Arial"/>
    </x:font>
    <x:font>
      <x:b/>
      <x:sz val="11"/>
      <x:color rgb="FFFFFFFF"/>
      <x:name val="Arial"/>
    </x:font>
    <x:font>
      <x:sz val="11"/>
      <x:color rgb="FF325F95"/>
      <x:name val="Arial"/>
    </x:font>
    <x:font>
      <x:sz val="11"/>
      <x:color rgb="FF65518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1EDF7"/>
      </x:patternFill>
    </x:fill>
    <x:fill>
      <x:patternFill patternType="solid">
        <x:fgColor rgb="FFF6F7FA"/>
      </x:patternFill>
    </x:fill>
    <x:fill>
      <x:patternFill patternType="solid">
        <x:fgColor rgb="FF29334D"/>
      </x:patternFill>
    </x:fill>
    <x:fill>
      <x:patternFill patternType="solid">
        <x:fgColor rgb="FFEAF3F0"/>
      </x:patternFill>
    </x:fill>
    <x:fill>
      <x:patternFill patternType="solid">
        <x:fgColor rgb="FF65518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5DAE5"/>
      </x:bottom>
      <x:diagonal/>
    </x:border>
    <x:border>
      <x:left/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a2a23c6c44646" /><Relationship Type="http://schemas.openxmlformats.org/officeDocument/2006/relationships/theme" Target="/xl/theme/theme1.xml" Id="Rb59fc45ccff24138" /><Relationship Type="http://schemas.openxmlformats.org/officeDocument/2006/relationships/sharedStrings" Target="/xl/sharedStrings.xml" Id="Rc5a8dd83b5ec4ed4" /><Relationship Type="http://schemas.openxmlformats.org/officeDocument/2006/relationships/worksheet" Target="/xl/worksheets/sheet1.xml" Id="Rc5329db0db534be6" /><Relationship Type="http://schemas.openxmlformats.org/officeDocument/2006/relationships/worksheet" Target="/xl/worksheets/sheet2.xml" Id="R3c15042e51624aa0" /><Relationship Type="http://schemas.openxmlformats.org/officeDocument/2006/relationships/worksheet" Target="/xl/worksheets/sheet3.xml" Id="R24087955b68245ec" /><Relationship Type="http://schemas.openxmlformats.org/officeDocument/2006/relationships/worksheet" Target="/xl/worksheets/sheet4.xml" Id="Rc56868ee9a1b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5.560001373291016" hidden="0" customWidth="1"/>
    <x:col min="3" max="3" width="35.560001373291016" hidden="0" customWidth="1"/>
    <x:col min="4" max="4" width="35.560001373291016" hidden="0" customWidth="1"/>
    <x:col min="5" max="5" width="35.560001373291016" hidden="0" customWidth="1"/>
    <x:col min="6" max="6" width="35.560001373291016" hidden="0" customWidth="1"/>
    <x:col min="7" max="7" width="35.560001373291016" hidden="0" customWidth="1"/>
    <x:col min="8" max="8" width="35.560001373291016" hidden="0" customWidth="1"/>
    <x:col min="9" max="9" width="35.560001373291016" hidden="0" customWidth="1"/>
    <x:col min="10" max="10" width="35.560001373291016" hidden="0" customWidth="1"/>
    <x:col min="11" max="11" width="35.560001373291016" hidden="0" customWidth="1"/>
    <x:col min="12" max="12" width="35.560001373291016" hidden="0" customWidth="1"/>
  </x:cols>
  <x:sheetData>
    <x:row r="1" ht="31" customHeight="1">
      <x:c r="A1" s="5" t="str">
        <x:v>观者 · 构筑包参考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7" t="str">
        <x:v>75 张紫色牌全收录 + 8 张固定衍生牌｜11 个设计分析包可以混搭，不是官方固定套牌，也不是穷举所有组合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5" customHeight="1">
      <x:c r="A4" s="7" t="str">
        <x:v>先看资源循环与限制，再在“分包卡牌”逐张对照；各卡基础费用、升级费用和完整效果分行列出。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16" t="str">
        <x:v>构筑包</x:v>
      </x:c>
      <x:c r="B5" s="16" t="str">
        <x:v>01  姿态循环</x:v>
      </x:c>
      <x:c r="C5" s="16" t="str">
        <x:v>02  愤怒爆发</x:v>
      </x:c>
      <x:c r="D5" s="16" t="str">
        <x:v>03  占卜回收</x:v>
      </x:c>
      <x:c r="E5" s="16" t="str">
        <x:v>04  保留蓄力</x:v>
      </x:c>
      <x:c r="F5" s="16" t="str">
        <x:v>05  真言神格</x:v>
      </x:c>
      <x:c r="G5" s="16" t="str">
        <x:v>06  生成升级</x:v>
      </x:c>
      <x:c r="H5" s="16" t="str">
        <x:v>07  能量与属性成长</x:v>
      </x:c>
      <x:c r="I5" s="16" t="str">
        <x:v>08  格挡与减益回报</x:v>
      </x:c>
      <x:c r="J5" s="16" t="str">
        <x:v>09  点穴叠层</x:v>
      </x:c>
      <x:c r="K5" s="16" t="str">
        <x:v>10  阿尔法与全知</x:v>
      </x:c>
      <x:c r="L5" s="17" t="str">
        <x:v>11  通用支撑与过渡</x:v>
      </x:c>
    </x:row>
    <x:row r="6" ht="28" customHeight="1">
      <x:c r="A6" s="10" t="str">
        <x:v>包的性质</x:v>
      </x:c>
      <x:c r="B6" s="11" t="str">
        <x:v>构筑机制／输出方向</x:v>
      </x:c>
      <x:c r="C6" s="11" t="str">
        <x:v>构筑机制／输出方向</x:v>
      </x:c>
      <x:c r="D6" s="11" t="str">
        <x:v>构筑机制／输出方向</x:v>
      </x:c>
      <x:c r="E6" s="11" t="str">
        <x:v>构筑机制／输出方向</x:v>
      </x:c>
      <x:c r="F6" s="11" t="str">
        <x:v>构筑机制／输出方向</x:v>
      </x:c>
      <x:c r="G6" s="11" t="str">
        <x:v>构筑机制／输出方向</x:v>
      </x:c>
      <x:c r="H6" s="11" t="str">
        <x:v>构筑机制／输出方向</x:v>
      </x:c>
      <x:c r="I6" s="11" t="str">
        <x:v>防御与减益补充模块</x:v>
      </x:c>
      <x:c r="J6" s="11" t="str">
        <x:v>构筑机制／输出方向</x:v>
      </x:c>
      <x:c r="K6" s="11" t="str">
        <x:v>构筑机制／输出方向</x:v>
      </x:c>
      <x:c r="L6" s="11" t="str">
        <x:v>跨构筑的通用支撑</x:v>
      </x:c>
    </x:row>
    <x:row r="7" ht="44" customHeight="1">
      <x:c r="A7" s="10" t="str">
        <x:v>核心牌</x:v>
      </x:c>
      <x:c r="B7" s="26" t="str">
        <x:v>猛虎下山、暴怒、发泄、内心宁静、不惧妖邪、化智为空、心灵堡垒、疾风连击</x:v>
      </x:c>
      <x:c r="C7" s="26" t="str">
        <x:v>暴怒、发泄、渐强、义愤填膺、怒火中烧、当头棒喝、诸神之黄昏</x:v>
      </x:c>
      <x:c r="D7" s="26" t="str">
        <x:v>斩破命运、天眼、幸运一击、先见之明、迂回、涅槃</x:v>
      </x:c>
      <x:c r="E7" s="26" t="str">
        <x:v>确立基础、冥想、时之沙、旋转打击、坚韧、护身</x:v>
      </x:c>
      <x:c r="F7" s="26" t="str">
        <x:v>五体投地、祈祷、敬拜、虔信、光辉、渎神</x:v>
      </x:c>
      <x:c r="G7" s="26" t="str">
        <x:v>操控现实、战歌、改造现实、欺瞒现实、立地升天、评估、祈祷、研习</x:v>
      </x:c>
      <x:c r="H7" s="26" t="str">
        <x:v>天人形态、斋戒、收集、机械降神、聚能成刃、许愿</x:v>
      </x:c>
      <x:c r="I7" s="26" t="str">
        <x:v>以手拒之、心灵堡垒、涅槃、摆手、当头棒喝、如水</x:v>
      </x:c>
      <x:c r="J7" s="26" t="str">
        <x:v>点穴</x:v>
      </x:c>
      <x:c r="K7" s="26" t="str">
        <x:v>阿尔法、通晓万物</x:v>
      </x:c>
      <x:c r="L7" s="26" t="str">
        <x:v>打击、防御、审判、勤学精进、潦草急就、腾跃、圣洁、他山之石、许愿</x:v>
      </x:c>
    </x:row>
    <x:row r="8" ht="60" customHeight="1">
      <x:c r="A8" s="10" t="str">
        <x:v>可选补件</x:v>
      </x:c>
      <x:c r="B8" s="25" t="str">
        <x:v>警惕、化拳为空、化体为空、安宁、冥想、潦草急就、以手拒之</x:v>
      </x:c>
      <x:c r="C8" s="25" t="str">
        <x:v>碰撞连击、供奉、粉碎关节、腰带抽打、追击、流云飞袖、结末、回旋踢、火焰纹、招牌技、化拳为空、安宁、停顿、旋身、渎神</x:v>
      </x:c>
      <x:c r="D8" s="25" t="str">
        <x:v>以手拒之、潦草急就、斋戒</x:v>
      </x:c>
      <x:c r="E8" s="25" t="str">
        <x:v>流云飞袖、渐强、安宁、敬拜、精神护盾、战歌、欺瞒现实、立地升天</x:v>
      </x:c>
      <x:c r="F8" s="25" t="str">
        <x:v>时之沙、旋转打击、诸神之黄昏、冥想、潦草急就</x:v>
      </x:c>
      <x:c r="G8" s="25" t="str">
        <x:v>他山之石、收集、机械降神、聚能成刃、确立基础</x:v>
      </x:c>
      <x:c r="H8" s="25" t="str">
        <x:v>诸神之黄昏、火焰纹、潦草急就、回旋踢、旋身、通晓万物</x:v>
      </x:c>
      <x:c r="I8" s="25" t="str">
        <x:v>停顿、精神护盾、坚韧、欺瞒现实、圣洁、腰带抽打</x:v>
      </x:c>
      <x:c r="J8" s="25" t="str">
        <x:v>冥想、内心宁静、化智为空、圣洁、天眼、如水</x:v>
      </x:c>
      <x:c r="K8" s="25" t="str">
        <x:v>操控现实、潦草急就、腾跃、冥想、天眼、护身、如水</x:v>
      </x:c>
      <x:c r="L8" s="25" t="str">
        <x:v>斩破命运、天眼、回旋踢、腰带抽打、化体为空</x:v>
      </x:c>
    </x:row>
    <x:row r="9" ht="60" customHeight="1">
      <x:c r="A9" s="10" t="str">
        <x:v>如何运转</x:v>
      </x:c>
      <x:c r="B9" s="26" t="str">
        <x:v>平静→低费入愤怒取能并抽牌→重新入平静或退出；切换同步触发攻防回报。</x:v>
      </x:c>
      <x:c r="C9" s="26" t="str">
        <x:v>先准备易伤或多段增伤，再入愤怒集中打出攻击；用出口、防御或击杀处理反击。</x:v>
      </x:c>
      <x:c r="D9" s="26" t="str">
        <x:v>占卜筛掉暂时不用的牌→回收迂回→低费攻击；涅槃把筛牌转成防御。</x:v>
      </x:c>
      <x:c r="E9" s="26" t="str">
        <x:v>保留关键牌跨回合等待→降费或成长→在愤怒／神格窗口集中兑现。</x:v>
      </x:c>
      <x:c r="F9" s="26" t="str">
        <x:v>积累10真言进入神格，获得能量并放大攻击；光辉读取整场累计真言。渎神提供带代价的捷径。</x:v>
      </x:c>
      <x:c r="G9" s="26" t="str">
        <x:v>先布置操控现实→生成升级后的攻击、防御或抽牌子牌→按需要保留和兑现。</x:v>
      </x:c>
      <x:c r="H9" s="26" t="str">
        <x:v>先投入成长能力或延迟能量→用抽牌消化多余能量→多段攻击放大力量收益。</x:v>
      </x:c>
      <x:c r="I9" s="26" t="str">
        <x:v>通过攻击、姿态切换、占卜等原有动作获得格挡，再用摆手把多次格挡转换成全场虚弱。</x:v>
      </x:c>
      <x:c r="J9" s="26" t="str">
        <x:v>反复点穴积累印记；每次使用同时兑现所有敌人各自已有的印记。</x:v>
      </x:c>
      <x:c r="K9" s="26" t="str">
        <x:v>阿尔法→抽到并使用贝塔→抽到并使用欧米伽，建立回合末群伤；全知可加速或重复关键牌结算。</x:v>
      </x:c>
      <x:c r="L9" s="26" t="str">
        <x:v>先解决当前战斗的伤害、防御和抽牌缺口，再由检索、回合控制或永久升级提高长期质量。</x:v>
      </x:c>
    </x:row>
    <x:row r="10" ht="60" customHeight="1">
      <x:c r="A10" s="10" t="str">
        <x:v>启动／成立条件</x:v>
      </x:c>
      <x:c r="B10" s="25" t="str">
        <x:v>优先有可靠入口、出口和抽牌；无限还需循环牌可稳定重抽、能量收支不亏，以及启动和防御方案。</x:v>
      </x:c>
      <x:c r="C10" s="25" t="str">
        <x:v>手牌伤害与能量须匹配；先确认攻击和切姿态的先后顺序。</x:v>
      </x:c>
      <x:c r="D10" s="25" t="str">
        <x:v>先保证抽牌和基本伤害；占卜次数与抽牌量是不同资源。</x:v>
      </x:c>
      <x:c r="E10" s="25" t="str">
        <x:v>需要能撑过等待期的防御，控制手牌数量；冥想可将非保留牌临时保留。</x:v>
      </x:c>
      <x:c r="F10" s="25" t="str">
        <x:v>阈值触发时须留有攻击和手牌；控制真言获得时点，避免空过倍率窗口。</x:v>
      </x:c>
      <x:c r="G10" s="25" t="str">
        <x:v>母牌、生成目的地和子牌付费分开考虑；确保有手牌空间与后续能量。</x:v>
      </x:c>
      <x:c r="H10" s="25" t="str">
        <x:v>有启动回合的防御；能量、抽牌、可用攻击三者需要同步。</x:v>
      </x:c>
      <x:c r="I10" s="25" t="str">
        <x:v>它通常是其他输出包的防御补件，需要对应的触发动作和稳定伤害。</x:v>
      </x:c>
      <x:c r="J10" s="25" t="str">
        <x:v>需要反复抽到或回收点穴，并用独立防御撑住前期；有多个副本只是提高出现频率。</x:v>
      </x:c>
      <x:c r="K10" s="25" t="str">
        <x:v>无减费的三阶段合计需1+2+3费，另需两次找到生成牌；需要筛牌、抽牌和防御。</x:v>
      </x:c>
      <x:c r="L10" s="25" t="str">
        <x:v>按当前牌组短板补件；这不是独立胜利条件，也不要求整包收齐。</x:v>
      </x:c>
    </x:row>
    <x:row r="11" ht="60" customHeight="1">
      <x:c r="A11" s="10" t="str">
        <x:v>限制与冲突</x:v>
      </x:c>
      <x:c r="B11" s="26" t="str">
        <x:v>不惧妖邪依赖敌人意图；状态牌、手牌上限和出牌次数限制会打断循环。警惕2费不能直接替代1费平静入口。</x:v>
      </x:c>
      <x:c r="C11" s="26" t="str">
        <x:v>未能击杀且留在愤怒会承受双倍攻击伤害；招牌技与手中其他攻击冲突；结末提前结束回合。</x:v>
      </x:c>
      <x:c r="D11" s="26" t="str">
        <x:v>仅占卜不能直接增加手牌；空抽牌堆不会因占卜洗牌，也不能回收迂回。</x:v>
      </x:c>
      <x:c r="E11" s="26" t="str">
        <x:v>等待会损失当前节奏；囤牌占用10张手牌上限；招牌技可能被保留攻击卡住。</x:v>
      </x:c>
      <x:c r="F11" s="26" t="str">
        <x:v>渎神本身不产真言；提前进入神格却无牌可打会浪费资源；专注攒层会牺牲生存。</x:v>
      </x:c>
      <x:c r="G11" s="26" t="str">
        <x:v>母牌升级通常不升级子牌；往抽牌堆生成比直接到手更慢，也会改变抽牌分布。</x:v>
      </x:c>
      <x:c r="H11" s="26" t="str">
        <x:v>天人形态前置3费且回报延迟；斋戒每回合减能量；只堆能量没有手牌会空转。</x:v>
      </x:c>
      <x:c r="I11" s="26" t="str">
        <x:v>以手拒之是敌方减益，会被人工制品阻挡；无触发器时回报能力可能成为空牌。</x:v>
      </x:c>
      <x:c r="J11" s="26" t="str">
        <x:v>与力量、易伤、愤怒／神格攻击倍率缺少直接协同；人工制品会挡住印记施加。</x:v>
      </x:c>
      <x:c r="K11" s="26" t="str">
        <x:v>阶段准备慢；欧米伽不是攻击，不吃姿态伤害倍率。全知目标必须留在抽牌堆。</x:v>
      </x:c>
      <x:c r="L11" s="26" t="str">
        <x:v>过量加入功能牌会稀释核心循环；勤学精进需要留出斩杀机会，许愿有较高当回合成本。</x:v>
      </x:c>
    </x:row>
    <x:row r="12" ht="60" customHeight="1">
      <x:c r="A12" s="22" t="str">
        <x:v>对霜月的参考 · 分析</x:v>
      </x:c>
      <x:c r="B12" s="36" t="str">
        <x:v>对照霜月：入口、出口、循环回报各设职责。避免一个核心能力同时包办资源、抽牌、伤害与防御。</x:v>
      </x:c>
      <x:c r="C12" s="36" t="str">
        <x:v>对照霜月：强窗口要有明确承诺与退出方式；状态内奖励可改变牌的用途，而不只是全局翻倍。</x:v>
      </x:c>
      <x:c r="D12" s="36" t="str">
        <x:v>对照霜月：让一个控制牌序的事件连接输出和防御；分别统计事件次数与处理牌数。</x:v>
      </x:c>
      <x:c r="E12" s="36" t="str">
        <x:v>对照霜月：可把爆发准备存于卡牌本身；明确保留一次、永久关键词与战斗内成长的区别。</x:v>
      </x:c>
      <x:c r="F12" s="36" t="str">
        <x:v>对照霜月：真言是持有层数，光辉读累计获得量；两种计数分开，适合检查霜蚀与月痕的阈值设计。</x:v>
      </x:c>
      <x:c r="G12" s="36" t="str">
        <x:v>对照霜月：生成牌可把一次性收益分拆成现在与未来两步；明确子牌是否触发出牌、攻击和资源回报。</x:v>
      </x:c>
      <x:c r="H12" s="36" t="str">
        <x:v>对照霜月：每个资源引擎都应有消耗口；观察“资源过剩但无事可做”是否频繁发生。</x:v>
      </x:c>
      <x:c r="I12" s="36" t="str">
        <x:v>对照霜月：适合观察多段月蚀与潮汐联动；区分每张牌、每段攻击、每次伤害和每次格挡事件。</x:v>
      </x:c>
      <x:c r="J12" s="36" t="str">
        <x:v>对照霜月：最接近月痕的参考。但印记每次触发不清空；月痕阈值清空会形成不同的节奏与目标选择。</x:v>
      </x:c>
      <x:c r="K12" s="36" t="str">
        <x:v>对照霜月：若加入多阶段大招，应同时定义阶段目的地、抽取延迟和前置资源，不只计算最终伤害。</x:v>
      </x:c>
      <x:c r="L12" s="36" t="str">
        <x:v>对照霜月：纯工具牌也应解决具体短板；把立即战斗价值与整局成长价值分开。</x:v>
      </x:c>
    </x:row>
    <x:row r="13" ht="28" customHeight="1">
      <x:c r="A13" s="10" t="str">
        <x:v>核心牌种数</x:v>
      </x:c>
      <x:c r="B13" s="20" t="n">
        <x:v>8</x:v>
      </x:c>
      <x:c r="C13" s="20" t="n">
        <x:v>7</x:v>
      </x:c>
      <x:c r="D13" s="20" t="n">
        <x:v>6</x:v>
      </x:c>
      <x:c r="E13" s="20" t="n">
        <x:v>6</x:v>
      </x:c>
      <x:c r="F13" s="20" t="n">
        <x:v>6</x:v>
      </x:c>
      <x:c r="G13" s="20" t="n">
        <x:v>8</x:v>
      </x:c>
      <x:c r="H13" s="20" t="n">
        <x:v>6</x:v>
      </x:c>
      <x:c r="I13" s="20" t="n">
        <x:v>6</x:v>
      </x:c>
      <x:c r="J13" s="20" t="n">
        <x:v>1</x:v>
      </x:c>
      <x:c r="K13" s="20" t="n">
        <x:v>2</x:v>
      </x:c>
      <x:c r="L13" s="20" t="n">
        <x:v>9</x:v>
      </x:c>
    </x:row>
    <x:row r="14" ht="28" customHeight="1">
      <x:c r="A14" s="10" t="str">
        <x:v>本包列示牌种数</x:v>
      </x:c>
      <x:c r="B14" s="21" t="n">
        <x:v>15</x:v>
      </x:c>
      <x:c r="C14" s="21" t="n">
        <x:v>22</x:v>
      </x:c>
      <x:c r="D14" s="21" t="n">
        <x:v>9</x:v>
      </x:c>
      <x:c r="E14" s="21" t="n">
        <x:v>14</x:v>
      </x:c>
      <x:c r="F14" s="21" t="n">
        <x:v>11</x:v>
      </x:c>
      <x:c r="G14" s="21" t="n">
        <x:v>13</x:v>
      </x:c>
      <x:c r="H14" s="21" t="n">
        <x:v>12</x:v>
      </x:c>
      <x:c r="I14" s="21" t="n">
        <x:v>12</x:v>
      </x:c>
      <x:c r="J14" s="21" t="n">
        <x:v>7</x:v>
      </x:c>
      <x:c r="K14" s="21" t="n">
        <x:v>9</x:v>
      </x:c>
      <x:c r="L14" s="21" t="n">
        <x:v>14</x:v>
      </x:c>
    </x:row>
    <x:row r="15" ht="28" customHeight="1">
      <x:c r="A15" s="10" t="str">
        <x:v>分包页起始位置</x:v>
      </x:c>
      <x:c r="B15" s="3" t="str">
        <x:v>分包卡牌!A6</x:v>
      </x:c>
      <x:c r="C15" s="3" t="str">
        <x:v>分包卡牌!A51</x:v>
      </x:c>
      <x:c r="D15" s="3" t="str">
        <x:v>分包卡牌!A111</x:v>
      </x:c>
      <x:c r="E15" s="3" t="str">
        <x:v>分包卡牌!A141</x:v>
      </x:c>
      <x:c r="F15" s="3" t="str">
        <x:v>分包卡牌!A186</x:v>
      </x:c>
      <x:c r="G15" s="3" t="str">
        <x:v>分包卡牌!A216</x:v>
      </x:c>
      <x:c r="H15" s="3" t="str">
        <x:v>分包卡牌!A261</x:v>
      </x:c>
      <x:c r="I15" s="3" t="str">
        <x:v>分包卡牌!A291</x:v>
      </x:c>
      <x:c r="J15" s="3" t="str">
        <x:v>分包卡牌!A321</x:v>
      </x:c>
      <x:c r="K15" s="3" t="str">
        <x:v>分包卡牌!A351</x:v>
      </x:c>
      <x:c r="L15" s="3" t="str">
        <x:v>分包卡牌!A381</x:v>
      </x:c>
    </x:row>
    <x:row r="17" ht="25" customHeight="1">
      <x:c r="A17" s="29" t="str">
        <x:v>读表口径：核心＝直接驱动该机制的牌；补件＝改善启动、生存或兑现的牌。包内不是拿牌清单，重复归属不能加总成卡池张数。</x:v>
      </x:c>
    </x:row>
    <x:row r="19" ht="30" customHeight="1">
      <x:c r="A19" s="16" t="str">
        <x:v>完整性核对</x:v>
      </x:c>
      <x:c r="B19" s="16" t="str">
        <x:v>实际牌种数</x:v>
      </x:c>
      <x:c r="C19" s="16" t="str">
        <x:v>目录口径</x:v>
      </x:c>
      <x:c r="D19" s="17" t="str">
        <x:v>说明</x:v>
      </x:c>
    </x:row>
    <x:row r="20" ht="44" customHeight="1">
      <x:c r="A20" s="3" t="str">
        <x:v>初始</x:v>
      </x:c>
      <x:c r="B20" s="18" t="n">
        <x:f>COUNTIF('75张卡牌'!B8:BX8,A20)</x:f>
        <x:v>4</x:v>
      </x:c>
      <x:c r="C20" s="18" t="n">
        <x:v>4</x:v>
      </x:c>
      <x:c r="D20" s="3" t="str">
        <x:v>4种初始牌；初始牌组有10张实体卡</x:v>
      </x:c>
    </x:row>
    <x:row r="21" ht="44" customHeight="1">
      <x:c r="A21" s="3" t="str">
        <x:v>普通</x:v>
      </x:c>
      <x:c r="B21" s="18" t="n">
        <x:f>COUNTIF('75张卡牌'!B8:BX8,A21)</x:f>
        <x:v>19</x:v>
      </x:c>
      <x:c r="C21" s="18" t="n">
        <x:v>19</x:v>
      </x:c>
      <x:c r="D21" s="3" t="str">
        <x:v>不含无色衍生牌</x:v>
      </x:c>
    </x:row>
    <x:row r="22" ht="44" customHeight="1">
      <x:c r="A22" s="3" t="str">
        <x:v>罕见</x:v>
      </x:c>
      <x:c r="B22" s="18" t="n">
        <x:f>COUNTIF('75张卡牌'!B8:BX8,A22)</x:f>
        <x:v>35</x:v>
      </x:c>
      <x:c r="C22" s="18" t="n">
        <x:v>35</x:v>
      </x:c>
      <x:c r="D22" s="3" t="str">
        <x:v>不含无色衍生牌</x:v>
      </x:c>
    </x:row>
    <x:row r="23" ht="44" customHeight="1">
      <x:c r="A23" s="3" t="str">
        <x:v>稀有</x:v>
      </x:c>
      <x:c r="B23" s="18" t="n">
        <x:f>COUNTIF('75张卡牌'!B8:BX8,A23)</x:f>
        <x:v>17</x:v>
      </x:c>
      <x:c r="C23" s="18" t="n">
        <x:v>17</x:v>
      </x:c>
      <x:c r="D23" s="3" t="str">
        <x:v>不含无色衍生牌</x:v>
      </x:c>
    </x:row>
    <x:row r="24" ht="44" customHeight="1">
      <x:c r="A24" s="9" t="str">
        <x:v>紫色牌合计</x:v>
      </x:c>
      <x:c r="B24" s="37" t="n">
        <x:f>SUM(B20:B23)</x:f>
        <x:v>75</x:v>
      </x:c>
      <x:c r="C24" s="37" t="n">
        <x:v>75</x:v>
      </x:c>
      <x:c r="D24" s="9" t="str">
        <x:v>按卡牌种类计数；升级版不额外计一种</x:v>
      </x:c>
    </x:row>
    <x:row r="25" ht="44" customHeight="1">
      <x:c r="A25" s="9" t="str">
        <x:v>固定衍生牌</x:v>
      </x:c>
      <x:c r="B25" s="37" t="n">
        <x:f>COUNTA('衍生牌与规则'!B5:I5)</x:f>
        <x:v>8</x:v>
      </x:c>
      <x:c r="C25" s="37" t="n">
        <x:v>8</x:v>
      </x:c>
      <x:c r="D25" s="9" t="str">
        <x:v>与紫色牌分开；许愿的3个选项已写在母牌效果中</x:v>
      </x:c>
    </x:row>
    <x:row r="26" ht="24" customHeight="1">
      <x:c r="A26" s="3"/>
      <x:c r="B26" s="3"/>
      <x:c r="C26" s="3"/>
      <x:c r="D26" s="3"/>
    </x:row>
    <x:row r="27" ht="25" customHeight="1">
      <x:c r="A27" s="7" t="str">
        <x:v>建议参考顺序：姿态循环 → 真言神格 → 点穴叠层 → 格挡回报。最贴近霜蚀入超然、月痕引爆和混合路线的职责拆分。</x:v>
      </x:c>
      <x:c r="B27" s="3"/>
      <x:c r="C27" s="3"/>
      <x:c r="D27" s="3"/>
    </x:row>
    <x:row r="28" ht="25" customHeight="1">
      <x:c r="A28" s="7" t="str">
        <x:v>全部分包与“对霜月的参考”均为本次分析；未模拟胜率，不应直接把观者倍率或阈值照搬为霜月平衡参数。</x:v>
      </x:c>
      <x:c r="B28" s="3"/>
      <x:c r="C28" s="3"/>
      <x:c r="D2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3.33000183105469" hidden="0" customWidth="1"/>
    <x:col min="3" max="3" width="33.33000183105469" hidden="0" customWidth="1"/>
    <x:col min="4" max="4" width="33.33000183105469" hidden="0" customWidth="1"/>
    <x:col min="5" max="5" width="33.33000183105469" hidden="0" customWidth="1"/>
    <x:col min="6" max="6" width="33.33000183105469" hidden="0" customWidth="1"/>
    <x:col min="7" max="7" width="33.33000183105469" hidden="0" customWidth="1"/>
    <x:col min="8" max="8" width="33.33000183105469" hidden="0" customWidth="1"/>
    <x:col min="9" max="9" width="33.33000183105469" hidden="0" customWidth="1"/>
    <x:col min="10" max="10" width="33.33000183105469" hidden="0" customWidth="1"/>
    <x:col min="11" max="11" width="33.33000183105469" hidden="0" customWidth="1"/>
    <x:col min="12" max="12" width="33.33000183105469" hidden="0" customWidth="1"/>
    <x:col min="13" max="13" width="33.33000183105469" hidden="0" customWidth="1"/>
    <x:col min="14" max="14" width="33.33000183105469" hidden="0" customWidth="1"/>
    <x:col min="15" max="15" width="33.33000183105469" hidden="0" customWidth="1"/>
    <x:col min="16" max="16" width="33.33000183105469" hidden="0" customWidth="1"/>
    <x:col min="17" max="17" width="33.33000183105469" hidden="0" customWidth="1"/>
    <x:col min="18" max="18" width="33.33000183105469" hidden="0" customWidth="1"/>
    <x:col min="19" max="19" width="33.33000183105469" hidden="0" customWidth="1"/>
    <x:col min="20" max="20" width="33.33000183105469" hidden="0" customWidth="1"/>
    <x:col min="21" max="21" width="33.33000183105469" hidden="0" customWidth="1"/>
    <x:col min="22" max="22" width="33.33000183105469" hidden="0" customWidth="1"/>
    <x:col min="23" max="23" width="33.33000183105469" hidden="0" customWidth="1"/>
    <x:col min="24" max="24" width="33.33000183105469" hidden="0" customWidth="1"/>
    <x:col min="25" max="25" width="33.33000183105469" hidden="0" customWidth="1"/>
    <x:col min="26" max="26" width="33.33000183105469" hidden="0" customWidth="1"/>
    <x:col min="27" max="27" width="33.33000183105469" hidden="0" customWidth="1"/>
    <x:col min="28" max="28" width="33.33000183105469" hidden="0" customWidth="1"/>
    <x:col min="29" max="29" width="33.33000183105469" hidden="0" customWidth="1"/>
    <x:col min="30" max="30" width="33.33000183105469" hidden="0" customWidth="1"/>
    <x:col min="31" max="31" width="33.33000183105469" hidden="0" customWidth="1"/>
    <x:col min="32" max="32" width="33.33000183105469" hidden="0" customWidth="1"/>
    <x:col min="33" max="33" width="33.33000183105469" hidden="0" customWidth="1"/>
    <x:col min="34" max="34" width="33.33000183105469" hidden="0" customWidth="1"/>
    <x:col min="35" max="35" width="33.33000183105469" hidden="0" customWidth="1"/>
    <x:col min="36" max="36" width="33.33000183105469" hidden="0" customWidth="1"/>
    <x:col min="37" max="37" width="33.33000183105469" hidden="0" customWidth="1"/>
    <x:col min="38" max="38" width="33.33000183105469" hidden="0" customWidth="1"/>
    <x:col min="39" max="39" width="33.33000183105469" hidden="0" customWidth="1"/>
    <x:col min="40" max="40" width="33.33000183105469" hidden="0" customWidth="1"/>
    <x:col min="41" max="41" width="33.33000183105469" hidden="0" customWidth="1"/>
    <x:col min="42" max="42" width="33.33000183105469" hidden="0" customWidth="1"/>
    <x:col min="43" max="43" width="33.33000183105469" hidden="0" customWidth="1"/>
    <x:col min="44" max="44" width="33.33000183105469" hidden="0" customWidth="1"/>
    <x:col min="45" max="45" width="33.33000183105469" hidden="0" customWidth="1"/>
    <x:col min="46" max="46" width="33.33000183105469" hidden="0" customWidth="1"/>
    <x:col min="47" max="47" width="33.33000183105469" hidden="0" customWidth="1"/>
    <x:col min="48" max="48" width="33.33000183105469" hidden="0" customWidth="1"/>
    <x:col min="49" max="49" width="33.33000183105469" hidden="0" customWidth="1"/>
    <x:col min="50" max="50" width="33.33000183105469" hidden="0" customWidth="1"/>
    <x:col min="51" max="51" width="33.33000183105469" hidden="0" customWidth="1"/>
    <x:col min="52" max="52" width="33.33000183105469" hidden="0" customWidth="1"/>
    <x:col min="53" max="53" width="33.33000183105469" hidden="0" customWidth="1"/>
    <x:col min="54" max="54" width="33.33000183105469" hidden="0" customWidth="1"/>
    <x:col min="55" max="55" width="33.33000183105469" hidden="0" customWidth="1"/>
    <x:col min="56" max="56" width="33.33000183105469" hidden="0" customWidth="1"/>
    <x:col min="57" max="57" width="33.33000183105469" hidden="0" customWidth="1"/>
    <x:col min="58" max="58" width="33.33000183105469" hidden="0" customWidth="1"/>
    <x:col min="59" max="59" width="33.33000183105469" hidden="0" customWidth="1"/>
    <x:col min="60" max="60" width="33.33000183105469" hidden="0" customWidth="1"/>
    <x:col min="61" max="61" width="33.33000183105469" hidden="0" customWidth="1"/>
    <x:col min="62" max="62" width="33.33000183105469" hidden="0" customWidth="1"/>
    <x:col min="63" max="63" width="33.33000183105469" hidden="0" customWidth="1"/>
    <x:col min="64" max="64" width="33.33000183105469" hidden="0" customWidth="1"/>
    <x:col min="65" max="65" width="33.33000183105469" hidden="0" customWidth="1"/>
    <x:col min="66" max="66" width="33.33000183105469" hidden="0" customWidth="1"/>
    <x:col min="67" max="67" width="33.33000183105469" hidden="0" customWidth="1"/>
    <x:col min="68" max="68" width="33.33000183105469" hidden="0" customWidth="1"/>
    <x:col min="69" max="69" width="33.33000183105469" hidden="0" customWidth="1"/>
    <x:col min="70" max="70" width="33.33000183105469" hidden="0" customWidth="1"/>
    <x:col min="71" max="71" width="33.33000183105469" hidden="0" customWidth="1"/>
    <x:col min="72" max="72" width="33.33000183105469" hidden="0" customWidth="1"/>
    <x:col min="73" max="73" width="33.33000183105469" hidden="0" customWidth="1"/>
    <x:col min="74" max="74" width="33.33000183105469" hidden="0" customWidth="1"/>
    <x:col min="75" max="75" width="33.33000183105469" hidden="0" customWidth="1"/>
    <x:col min="76" max="76" width="33.33000183105469" hidden="0" customWidth="1"/>
  </x:cols>
  <x:sheetData>
    <x:row r="1" ht="31" customHeight="1">
      <x:c r="A1" s="5" t="str">
        <x:v>观者 · 75 张完整卡池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</x:row>
    <x:row r="2" ht="25" customHeight="1">
      <x:c r="A2" s="7" t="str">
        <x:v>STS1 PC v2.3 标准卡池｜属性纵排、每张卡一列｜向右滚动；左侧属性和卡名已冻结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/>
      <x:c r="BU3" s="8"/>
      <x:c r="BV3" s="8"/>
      <x:c r="BW3" s="8"/>
      <x:c r="BX3" s="8"/>
    </x:row>
    <x:row r="4" ht="25" customHeight="1">
      <x:c r="A4" s="7" t="str">
        <x:v>按初始→普通→罕见→稀有排列。费用为能量；X=投入全部当前能量；“不可打出”不等于0费。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</x:row>
    <x:row r="5" ht="30" customHeight="1">
      <x:c r="A5" s="16" t="str">
        <x:v>卡牌名</x:v>
      </x:c>
      <x:c r="B5" s="16" t="str">
        <x:v>防御</x:v>
      </x:c>
      <x:c r="C5" s="16" t="str">
        <x:v>暴怒</x:v>
      </x:c>
      <x:c r="D5" s="16" t="str">
        <x:v>打击</x:v>
      </x:c>
      <x:c r="E5" s="16" t="str">
        <x:v>警惕</x:v>
      </x:c>
      <x:c r="F5" s="16" t="str">
        <x:v>碰撞连击</x:v>
      </x:c>
      <x:c r="G5" s="16" t="str">
        <x:v>供奉</x:v>
      </x:c>
      <x:c r="H5" s="16" t="str">
        <x:v>渐强</x:v>
      </x:c>
      <x:c r="I5" s="16" t="str">
        <x:v>粉碎关节</x:v>
      </x:c>
      <x:c r="J5" s="16" t="str">
        <x:v>斩破命运</x:v>
      </x:c>
      <x:c r="K5" s="16" t="str">
        <x:v>化体为空</x:v>
      </x:c>
      <x:c r="L5" s="16" t="str">
        <x:v>化拳为空</x:v>
      </x:c>
      <x:c r="M5" s="16" t="str">
        <x:v>评估</x:v>
      </x:c>
      <x:c r="N5" s="16" t="str">
        <x:v>疾风连击</x:v>
      </x:c>
      <x:c r="O5" s="16" t="str">
        <x:v>流云飞袖</x:v>
      </x:c>
      <x:c r="P5" s="16" t="str">
        <x:v>追击</x:v>
      </x:c>
      <x:c r="Q5" s="16" t="str">
        <x:v>停顿</x:v>
      </x:c>
      <x:c r="R5" s="16" t="str">
        <x:v>幸运一击</x:v>
      </x:c>
      <x:c r="S5" s="16" t="str">
        <x:v>点穴</x:v>
      </x:c>
      <x:c r="T5" s="16" t="str">
        <x:v>五体投地</x:v>
      </x:c>
      <x:c r="U5" s="16" t="str">
        <x:v>护身</x:v>
      </x:c>
      <x:c r="V5" s="16" t="str">
        <x:v>腰带抽打</x:v>
      </x:c>
      <x:c r="W5" s="16" t="str">
        <x:v>天眼</x:v>
      </x:c>
      <x:c r="X5" s="16" t="str">
        <x:v>安宁</x:v>
      </x:c>
      <x:c r="Y5" s="16" t="str">
        <x:v>战歌</x:v>
      </x:c>
      <x:c r="Z5" s="16" t="str">
        <x:v>改造现实</x:v>
      </x:c>
      <x:c r="AA5" s="16" t="str">
        <x:v>收集</x:v>
      </x:c>
      <x:c r="AB5" s="16" t="str">
        <x:v>结末</x:v>
      </x:c>
      <x:c r="AC5" s="16" t="str">
        <x:v>欺瞒现实</x:v>
      </x:c>
      <x:c r="AD5" s="16" t="str">
        <x:v>化智为空</x:v>
      </x:c>
      <x:c r="AE5" s="16" t="str">
        <x:v>斋戒</x:v>
      </x:c>
      <x:c r="AF5" s="16" t="str">
        <x:v>不惧妖邪</x:v>
      </x:c>
      <x:c r="AG5" s="16" t="str">
        <x:v>他山之石</x:v>
      </x:c>
      <x:c r="AH5" s="16" t="str">
        <x:v>先见之明</x:v>
      </x:c>
      <x:c r="AI5" s="16" t="str">
        <x:v>义愤填膺</x:v>
      </x:c>
      <x:c r="AJ5" s="16" t="str">
        <x:v>内心宁静</x:v>
      </x:c>
      <x:c r="AK5" s="16" t="str">
        <x:v>如水</x:v>
      </x:c>
      <x:c r="AL5" s="16" t="str">
        <x:v>冥想</x:v>
      </x:c>
      <x:c r="AM5" s="16" t="str">
        <x:v>心灵堡垒</x:v>
      </x:c>
      <x:c r="AN5" s="16" t="str">
        <x:v>涅槃</x:v>
      </x:c>
      <x:c r="AO5" s="16" t="str">
        <x:v>坚韧</x:v>
      </x:c>
      <x:c r="AP5" s="16" t="str">
        <x:v>祈祷</x:v>
      </x:c>
      <x:c r="AQ5" s="16" t="str">
        <x:v>立地升天</x:v>
      </x:c>
      <x:c r="AR5" s="16" t="str">
        <x:v>猛虎下山</x:v>
      </x:c>
      <x:c r="AS5" s="16" t="str">
        <x:v>圣洁</x:v>
      </x:c>
      <x:c r="AT5" s="16" t="str">
        <x:v>时之沙</x:v>
      </x:c>
      <x:c r="AU5" s="16" t="str">
        <x:v>招牌技</x:v>
      </x:c>
      <x:c r="AV5" s="16" t="str">
        <x:v>怒火中烧</x:v>
      </x:c>
      <x:c r="AW5" s="16" t="str">
        <x:v>研习</x:v>
      </x:c>
      <x:c r="AX5" s="16" t="str">
        <x:v>旋身</x:v>
      </x:c>
      <x:c r="AY5" s="16" t="str">
        <x:v>以手拒之</x:v>
      </x:c>
      <x:c r="AZ5" s="16" t="str">
        <x:v>发泄</x:v>
      </x:c>
      <x:c r="BA5" s="16" t="str">
        <x:v>当头棒喝</x:v>
      </x:c>
      <x:c r="BB5" s="16" t="str">
        <x:v>摆手</x:v>
      </x:c>
      <x:c r="BC5" s="16" t="str">
        <x:v>迂回</x:v>
      </x:c>
      <x:c r="BD5" s="16" t="str">
        <x:v>回旋踢</x:v>
      </x:c>
      <x:c r="BE5" s="16" t="str">
        <x:v>旋转打击</x:v>
      </x:c>
      <x:c r="BF5" s="16" t="str">
        <x:v>敬拜</x:v>
      </x:c>
      <x:c r="BG5" s="16" t="str">
        <x:v>火焰纹</x:v>
      </x:c>
      <x:c r="BH5" s="16" t="str">
        <x:v>阿尔法</x:v>
      </x:c>
      <x:c r="BI5" s="16" t="str">
        <x:v>渎神</x:v>
      </x:c>
      <x:c r="BJ5" s="16" t="str">
        <x:v>光辉</x:v>
      </x:c>
      <x:c r="BK5" s="16" t="str">
        <x:v>聚能成刃</x:v>
      </x:c>
      <x:c r="BL5" s="16" t="str">
        <x:v>机械降神</x:v>
      </x:c>
      <x:c r="BM5" s="16" t="str">
        <x:v>天人形态</x:v>
      </x:c>
      <x:c r="BN5" s="16" t="str">
        <x:v>虔信</x:v>
      </x:c>
      <x:c r="BO5" s="16" t="str">
        <x:v>确立基础</x:v>
      </x:c>
      <x:c r="BP5" s="16" t="str">
        <x:v>审判</x:v>
      </x:c>
      <x:c r="BQ5" s="16" t="str">
        <x:v>勤学精进</x:v>
      </x:c>
      <x:c r="BR5" s="16" t="str">
        <x:v>操控现实</x:v>
      </x:c>
      <x:c r="BS5" s="16" t="str">
        <x:v>通晓万物</x:v>
      </x:c>
      <x:c r="BT5" s="16" t="str">
        <x:v>诸神之黄昏</x:v>
      </x:c>
      <x:c r="BU5" s="16" t="str">
        <x:v>潦草急就</x:v>
      </x:c>
      <x:c r="BV5" s="16" t="str">
        <x:v>精神护盾</x:v>
      </x:c>
      <x:c r="BW5" s="16" t="str">
        <x:v>腾跃</x:v>
      </x:c>
      <x:c r="BX5" s="17" t="str">
        <x:v>许愿</x:v>
      </x:c>
    </x:row>
    <x:row r="6" ht="28" customHeight="1">
      <x:c r="A6" s="10" t="str">
        <x:v>英文名</x:v>
      </x:c>
      <x:c r="B6" s="11" t="str">
        <x:v>Defend</x:v>
      </x:c>
      <x:c r="C6" s="11" t="str">
        <x:v>Eruption</x:v>
      </x:c>
      <x:c r="D6" s="11" t="str">
        <x:v>Strike</x:v>
      </x:c>
      <x:c r="E6" s="11" t="str">
        <x:v>Vigilance</x:v>
      </x:c>
      <x:c r="F6" s="11" t="str">
        <x:v>Bowling Bash</x:v>
      </x:c>
      <x:c r="G6" s="11" t="str">
        <x:v>Consecrate</x:v>
      </x:c>
      <x:c r="H6" s="11" t="str">
        <x:v>Crescendo</x:v>
      </x:c>
      <x:c r="I6" s="11" t="str">
        <x:v>Crush Joints</x:v>
      </x:c>
      <x:c r="J6" s="11" t="str">
        <x:v>Cut Through Fate</x:v>
      </x:c>
      <x:c r="K6" s="11" t="str">
        <x:v>Empty Body</x:v>
      </x:c>
      <x:c r="L6" s="11" t="str">
        <x:v>Empty Fist</x:v>
      </x:c>
      <x:c r="M6" s="11" t="str">
        <x:v>Evaluate</x:v>
      </x:c>
      <x:c r="N6" s="11" t="str">
        <x:v>Flurry of Blows</x:v>
      </x:c>
      <x:c r="O6" s="11" t="str">
        <x:v>Flying Sleeves</x:v>
      </x:c>
      <x:c r="P6" s="11" t="str">
        <x:v>Follow-Up</x:v>
      </x:c>
      <x:c r="Q6" s="11" t="str">
        <x:v>Halt</x:v>
      </x:c>
      <x:c r="R6" s="11" t="str">
        <x:v>Just Lucky</x:v>
      </x:c>
      <x:c r="S6" s="11" t="str">
        <x:v>Pressure Points</x:v>
      </x:c>
      <x:c r="T6" s="11" t="str">
        <x:v>Prostrate</x:v>
      </x:c>
      <x:c r="U6" s="11" t="str">
        <x:v>Protect</x:v>
      </x:c>
      <x:c r="V6" s="11" t="str">
        <x:v>Sash Whip</x:v>
      </x:c>
      <x:c r="W6" s="11" t="str">
        <x:v>Third Eye</x:v>
      </x:c>
      <x:c r="X6" s="11" t="str">
        <x:v>Tranquility</x:v>
      </x:c>
      <x:c r="Y6" s="11" t="str">
        <x:v>Battle Hymn</x:v>
      </x:c>
      <x:c r="Z6" s="11" t="str">
        <x:v>Carve Reality</x:v>
      </x:c>
      <x:c r="AA6" s="11" t="str">
        <x:v>Collect</x:v>
      </x:c>
      <x:c r="AB6" s="11" t="str">
        <x:v>Conclude</x:v>
      </x:c>
      <x:c r="AC6" s="11" t="str">
        <x:v>Deceive Reality</x:v>
      </x:c>
      <x:c r="AD6" s="11" t="str">
        <x:v>Empty Mind</x:v>
      </x:c>
      <x:c r="AE6" s="11" t="str">
        <x:v>Fasting</x:v>
      </x:c>
      <x:c r="AF6" s="11" t="str">
        <x:v>Fear No Evil</x:v>
      </x:c>
      <x:c r="AG6" s="11" t="str">
        <x:v>Foreign Influence</x:v>
      </x:c>
      <x:c r="AH6" s="11" t="str">
        <x:v>Foresight</x:v>
      </x:c>
      <x:c r="AI6" s="11" t="str">
        <x:v>Indignation</x:v>
      </x:c>
      <x:c r="AJ6" s="11" t="str">
        <x:v>Inner Peace</x:v>
      </x:c>
      <x:c r="AK6" s="11" t="str">
        <x:v>Like Water</x:v>
      </x:c>
      <x:c r="AL6" s="11" t="str">
        <x:v>Meditate</x:v>
      </x:c>
      <x:c r="AM6" s="11" t="str">
        <x:v>Mental Fortress</x:v>
      </x:c>
      <x:c r="AN6" s="11" t="str">
        <x:v>Nirvana</x:v>
      </x:c>
      <x:c r="AO6" s="11" t="str">
        <x:v>Perseverance</x:v>
      </x:c>
      <x:c r="AP6" s="11" t="str">
        <x:v>Pray</x:v>
      </x:c>
      <x:c r="AQ6" s="11" t="str">
        <x:v>Reach Heaven</x:v>
      </x:c>
      <x:c r="AR6" s="11" t="str">
        <x:v>Rushdown</x:v>
      </x:c>
      <x:c r="AS6" s="11" t="str">
        <x:v>Sanctity</x:v>
      </x:c>
      <x:c r="AT6" s="11" t="str">
        <x:v>Sands of Time</x:v>
      </x:c>
      <x:c r="AU6" s="11" t="str">
        <x:v>Signature Move</x:v>
      </x:c>
      <x:c r="AV6" s="11" t="str">
        <x:v>Simmering Fury</x:v>
      </x:c>
      <x:c r="AW6" s="11" t="str">
        <x:v>Study</x:v>
      </x:c>
      <x:c r="AX6" s="11" t="str">
        <x:v>Swivel</x:v>
      </x:c>
      <x:c r="AY6" s="11" t="str">
        <x:v>Talk to the Hand</x:v>
      </x:c>
      <x:c r="AZ6" s="11" t="str">
        <x:v>Tantrum</x:v>
      </x:c>
      <x:c r="BA6" s="11" t="str">
        <x:v>Wallop</x:v>
      </x:c>
      <x:c r="BB6" s="11" t="str">
        <x:v>Wave of the Hand</x:v>
      </x:c>
      <x:c r="BC6" s="11" t="str">
        <x:v>Weave</x:v>
      </x:c>
      <x:c r="BD6" s="11" t="str">
        <x:v>Wheel Kick</x:v>
      </x:c>
      <x:c r="BE6" s="11" t="str">
        <x:v>Windmill Strike</x:v>
      </x:c>
      <x:c r="BF6" s="11" t="str">
        <x:v>Worship</x:v>
      </x:c>
      <x:c r="BG6" s="11" t="str">
        <x:v>Wreath of Flame</x:v>
      </x:c>
      <x:c r="BH6" s="11" t="str">
        <x:v>Alpha</x:v>
      </x:c>
      <x:c r="BI6" s="11" t="str">
        <x:v>Blasphemy</x:v>
      </x:c>
      <x:c r="BJ6" s="11" t="str">
        <x:v>Brilliance</x:v>
      </x:c>
      <x:c r="BK6" s="11" t="str">
        <x:v>Conjure Blade</x:v>
      </x:c>
      <x:c r="BL6" s="11" t="str">
        <x:v>Deus Ex Machina</x:v>
      </x:c>
      <x:c r="BM6" s="11" t="str">
        <x:v>Deva Form</x:v>
      </x:c>
      <x:c r="BN6" s="11" t="str">
        <x:v>Devotion</x:v>
      </x:c>
      <x:c r="BO6" s="11" t="str">
        <x:v>Establishment</x:v>
      </x:c>
      <x:c r="BP6" s="11" t="str">
        <x:v>Judgment</x:v>
      </x:c>
      <x:c r="BQ6" s="11" t="str">
        <x:v>Lesson Learned</x:v>
      </x:c>
      <x:c r="BR6" s="11" t="str">
        <x:v>Master Reality</x:v>
      </x:c>
      <x:c r="BS6" s="11" t="str">
        <x:v>Omniscience</x:v>
      </x:c>
      <x:c r="BT6" s="11" t="str">
        <x:v>Ragnarok</x:v>
      </x:c>
      <x:c r="BU6" s="11" t="str">
        <x:v>Scrawl</x:v>
      </x:c>
      <x:c r="BV6" s="11" t="str">
        <x:v>Spirit Shield</x:v>
      </x:c>
      <x:c r="BW6" s="11" t="str">
        <x:v>Vault</x:v>
      </x:c>
      <x:c r="BX6" s="11" t="str">
        <x:v>Wish</x:v>
      </x:c>
    </x:row>
    <x:row r="7" ht="28" customHeight="1">
      <x:c r="A7" s="10" t="str">
        <x:v>类型</x:v>
      </x:c>
      <x:c r="B7" s="3" t="str">
        <x:v>技能</x:v>
      </x:c>
      <x:c r="C7" s="3" t="str">
        <x:v>攻击</x:v>
      </x:c>
      <x:c r="D7" s="3" t="str">
        <x:v>攻击</x:v>
      </x:c>
      <x:c r="E7" s="3" t="str">
        <x:v>技能</x:v>
      </x:c>
      <x:c r="F7" s="3" t="str">
        <x:v>攻击</x:v>
      </x:c>
      <x:c r="G7" s="3" t="str">
        <x:v>攻击</x:v>
      </x:c>
      <x:c r="H7" s="3" t="str">
        <x:v>技能</x:v>
      </x:c>
      <x:c r="I7" s="3" t="str">
        <x:v>攻击</x:v>
      </x:c>
      <x:c r="J7" s="3" t="str">
        <x:v>攻击</x:v>
      </x:c>
      <x:c r="K7" s="3" t="str">
        <x:v>技能</x:v>
      </x:c>
      <x:c r="L7" s="3" t="str">
        <x:v>攻击</x:v>
      </x:c>
      <x:c r="M7" s="3" t="str">
        <x:v>技能</x:v>
      </x:c>
      <x:c r="N7" s="3" t="str">
        <x:v>攻击</x:v>
      </x:c>
      <x:c r="O7" s="3" t="str">
        <x:v>攻击</x:v>
      </x:c>
      <x:c r="P7" s="3" t="str">
        <x:v>攻击</x:v>
      </x:c>
      <x:c r="Q7" s="3" t="str">
        <x:v>技能</x:v>
      </x:c>
      <x:c r="R7" s="3" t="str">
        <x:v>攻击</x:v>
      </x:c>
      <x:c r="S7" s="3" t="str">
        <x:v>技能</x:v>
      </x:c>
      <x:c r="T7" s="3" t="str">
        <x:v>技能</x:v>
      </x:c>
      <x:c r="U7" s="3" t="str">
        <x:v>技能</x:v>
      </x:c>
      <x:c r="V7" s="3" t="str">
        <x:v>攻击</x:v>
      </x:c>
      <x:c r="W7" s="3" t="str">
        <x:v>技能</x:v>
      </x:c>
      <x:c r="X7" s="3" t="str">
        <x:v>技能</x:v>
      </x:c>
      <x:c r="Y7" s="3" t="str">
        <x:v>能力</x:v>
      </x:c>
      <x:c r="Z7" s="3" t="str">
        <x:v>攻击</x:v>
      </x:c>
      <x:c r="AA7" s="3" t="str">
        <x:v>技能</x:v>
      </x:c>
      <x:c r="AB7" s="3" t="str">
        <x:v>攻击</x:v>
      </x:c>
      <x:c r="AC7" s="3" t="str">
        <x:v>技能</x:v>
      </x:c>
      <x:c r="AD7" s="3" t="str">
        <x:v>技能</x:v>
      </x:c>
      <x:c r="AE7" s="3" t="str">
        <x:v>能力</x:v>
      </x:c>
      <x:c r="AF7" s="3" t="str">
        <x:v>攻击</x:v>
      </x:c>
      <x:c r="AG7" s="3" t="str">
        <x:v>技能</x:v>
      </x:c>
      <x:c r="AH7" s="3" t="str">
        <x:v>能力</x:v>
      </x:c>
      <x:c r="AI7" s="3" t="str">
        <x:v>技能</x:v>
      </x:c>
      <x:c r="AJ7" s="3" t="str">
        <x:v>技能</x:v>
      </x:c>
      <x:c r="AK7" s="3" t="str">
        <x:v>能力</x:v>
      </x:c>
      <x:c r="AL7" s="3" t="str">
        <x:v>技能</x:v>
      </x:c>
      <x:c r="AM7" s="3" t="str">
        <x:v>能力</x:v>
      </x:c>
      <x:c r="AN7" s="3" t="str">
        <x:v>能力</x:v>
      </x:c>
      <x:c r="AO7" s="3" t="str">
        <x:v>技能</x:v>
      </x:c>
      <x:c r="AP7" s="3" t="str">
        <x:v>技能</x:v>
      </x:c>
      <x:c r="AQ7" s="3" t="str">
        <x:v>攻击</x:v>
      </x:c>
      <x:c r="AR7" s="3" t="str">
        <x:v>能力</x:v>
      </x:c>
      <x:c r="AS7" s="3" t="str">
        <x:v>技能</x:v>
      </x:c>
      <x:c r="AT7" s="3" t="str">
        <x:v>攻击</x:v>
      </x:c>
      <x:c r="AU7" s="3" t="str">
        <x:v>攻击</x:v>
      </x:c>
      <x:c r="AV7" s="3" t="str">
        <x:v>技能</x:v>
      </x:c>
      <x:c r="AW7" s="3" t="str">
        <x:v>能力</x:v>
      </x:c>
      <x:c r="AX7" s="3" t="str">
        <x:v>技能</x:v>
      </x:c>
      <x:c r="AY7" s="3" t="str">
        <x:v>攻击</x:v>
      </x:c>
      <x:c r="AZ7" s="3" t="str">
        <x:v>攻击</x:v>
      </x:c>
      <x:c r="BA7" s="3" t="str">
        <x:v>攻击</x:v>
      </x:c>
      <x:c r="BB7" s="3" t="str">
        <x:v>技能</x:v>
      </x:c>
      <x:c r="BC7" s="3" t="str">
        <x:v>攻击</x:v>
      </x:c>
      <x:c r="BD7" s="3" t="str">
        <x:v>攻击</x:v>
      </x:c>
      <x:c r="BE7" s="3" t="str">
        <x:v>攻击</x:v>
      </x:c>
      <x:c r="BF7" s="3" t="str">
        <x:v>技能</x:v>
      </x:c>
      <x:c r="BG7" s="3" t="str">
        <x:v>技能</x:v>
      </x:c>
      <x:c r="BH7" s="3" t="str">
        <x:v>技能</x:v>
      </x:c>
      <x:c r="BI7" s="3" t="str">
        <x:v>技能</x:v>
      </x:c>
      <x:c r="BJ7" s="3" t="str">
        <x:v>攻击</x:v>
      </x:c>
      <x:c r="BK7" s="3" t="str">
        <x:v>技能</x:v>
      </x:c>
      <x:c r="BL7" s="3" t="str">
        <x:v>技能</x:v>
      </x:c>
      <x:c r="BM7" s="3" t="str">
        <x:v>能力</x:v>
      </x:c>
      <x:c r="BN7" s="3" t="str">
        <x:v>能力</x:v>
      </x:c>
      <x:c r="BO7" s="3" t="str">
        <x:v>能力</x:v>
      </x:c>
      <x:c r="BP7" s="3" t="str">
        <x:v>技能</x:v>
      </x:c>
      <x:c r="BQ7" s="3" t="str">
        <x:v>攻击</x:v>
      </x:c>
      <x:c r="BR7" s="3" t="str">
        <x:v>能力</x:v>
      </x:c>
      <x:c r="BS7" s="3" t="str">
        <x:v>技能</x:v>
      </x:c>
      <x:c r="BT7" s="3" t="str">
        <x:v>攻击</x:v>
      </x:c>
      <x:c r="BU7" s="3" t="str">
        <x:v>技能</x:v>
      </x:c>
      <x:c r="BV7" s="3" t="str">
        <x:v>技能</x:v>
      </x:c>
      <x:c r="BW7" s="3" t="str">
        <x:v>技能</x:v>
      </x:c>
      <x:c r="BX7" s="3" t="str">
        <x:v>技能</x:v>
      </x:c>
    </x:row>
    <x:row r="8" ht="28" customHeight="1">
      <x:c r="A8" s="10" t="str">
        <x:v>稀有度</x:v>
      </x:c>
      <x:c r="B8" s="11" t="str">
        <x:v>初始</x:v>
      </x:c>
      <x:c r="C8" s="11" t="str">
        <x:v>初始</x:v>
      </x:c>
      <x:c r="D8" s="11" t="str">
        <x:v>初始</x:v>
      </x:c>
      <x:c r="E8" s="11" t="str">
        <x:v>初始</x:v>
      </x:c>
      <x:c r="F8" s="11" t="str">
        <x:v>普通</x:v>
      </x:c>
      <x:c r="G8" s="11" t="str">
        <x:v>普通</x:v>
      </x:c>
      <x:c r="H8" s="11" t="str">
        <x:v>普通</x:v>
      </x:c>
      <x:c r="I8" s="11" t="str">
        <x:v>普通</x:v>
      </x:c>
      <x:c r="J8" s="11" t="str">
        <x:v>普通</x:v>
      </x:c>
      <x:c r="K8" s="11" t="str">
        <x:v>普通</x:v>
      </x:c>
      <x:c r="L8" s="11" t="str">
        <x:v>普通</x:v>
      </x:c>
      <x:c r="M8" s="11" t="str">
        <x:v>普通</x:v>
      </x:c>
      <x:c r="N8" s="11" t="str">
        <x:v>普通</x:v>
      </x:c>
      <x:c r="O8" s="11" t="str">
        <x:v>普通</x:v>
      </x:c>
      <x:c r="P8" s="11" t="str">
        <x:v>普通</x:v>
      </x:c>
      <x:c r="Q8" s="11" t="str">
        <x:v>普通</x:v>
      </x:c>
      <x:c r="R8" s="11" t="str">
        <x:v>普通</x:v>
      </x:c>
      <x:c r="S8" s="11" t="str">
        <x:v>普通</x:v>
      </x:c>
      <x:c r="T8" s="11" t="str">
        <x:v>普通</x:v>
      </x:c>
      <x:c r="U8" s="11" t="str">
        <x:v>普通</x:v>
      </x:c>
      <x:c r="V8" s="11" t="str">
        <x:v>普通</x:v>
      </x:c>
      <x:c r="W8" s="11" t="str">
        <x:v>普通</x:v>
      </x:c>
      <x:c r="X8" s="11" t="str">
        <x:v>普通</x:v>
      </x:c>
      <x:c r="Y8" s="11" t="str">
        <x:v>罕见</x:v>
      </x:c>
      <x:c r="Z8" s="11" t="str">
        <x:v>罕见</x:v>
      </x:c>
      <x:c r="AA8" s="11" t="str">
        <x:v>罕见</x:v>
      </x:c>
      <x:c r="AB8" s="11" t="str">
        <x:v>罕见</x:v>
      </x:c>
      <x:c r="AC8" s="11" t="str">
        <x:v>罕见</x:v>
      </x:c>
      <x:c r="AD8" s="11" t="str">
        <x:v>罕见</x:v>
      </x:c>
      <x:c r="AE8" s="11" t="str">
        <x:v>罕见</x:v>
      </x:c>
      <x:c r="AF8" s="11" t="str">
        <x:v>罕见</x:v>
      </x:c>
      <x:c r="AG8" s="11" t="str">
        <x:v>罕见</x:v>
      </x:c>
      <x:c r="AH8" s="11" t="str">
        <x:v>罕见</x:v>
      </x:c>
      <x:c r="AI8" s="11" t="str">
        <x:v>罕见</x:v>
      </x:c>
      <x:c r="AJ8" s="11" t="str">
        <x:v>罕见</x:v>
      </x:c>
      <x:c r="AK8" s="11" t="str">
        <x:v>罕见</x:v>
      </x:c>
      <x:c r="AL8" s="11" t="str">
        <x:v>罕见</x:v>
      </x:c>
      <x:c r="AM8" s="11" t="str">
        <x:v>罕见</x:v>
      </x:c>
      <x:c r="AN8" s="11" t="str">
        <x:v>罕见</x:v>
      </x:c>
      <x:c r="AO8" s="11" t="str">
        <x:v>罕见</x:v>
      </x:c>
      <x:c r="AP8" s="11" t="str">
        <x:v>罕见</x:v>
      </x:c>
      <x:c r="AQ8" s="11" t="str">
        <x:v>罕见</x:v>
      </x:c>
      <x:c r="AR8" s="11" t="str">
        <x:v>罕见</x:v>
      </x:c>
      <x:c r="AS8" s="11" t="str">
        <x:v>罕见</x:v>
      </x:c>
      <x:c r="AT8" s="11" t="str">
        <x:v>罕见</x:v>
      </x:c>
      <x:c r="AU8" s="11" t="str">
        <x:v>罕见</x:v>
      </x:c>
      <x:c r="AV8" s="11" t="str">
        <x:v>罕见</x:v>
      </x:c>
      <x:c r="AW8" s="11" t="str">
        <x:v>罕见</x:v>
      </x:c>
      <x:c r="AX8" s="11" t="str">
        <x:v>罕见</x:v>
      </x:c>
      <x:c r="AY8" s="11" t="str">
        <x:v>罕见</x:v>
      </x:c>
      <x:c r="AZ8" s="11" t="str">
        <x:v>罕见</x:v>
      </x:c>
      <x:c r="BA8" s="11" t="str">
        <x:v>罕见</x:v>
      </x:c>
      <x:c r="BB8" s="11" t="str">
        <x:v>罕见</x:v>
      </x:c>
      <x:c r="BC8" s="11" t="str">
        <x:v>罕见</x:v>
      </x:c>
      <x:c r="BD8" s="11" t="str">
        <x:v>罕见</x:v>
      </x:c>
      <x:c r="BE8" s="11" t="str">
        <x:v>罕见</x:v>
      </x:c>
      <x:c r="BF8" s="11" t="str">
        <x:v>罕见</x:v>
      </x:c>
      <x:c r="BG8" s="11" t="str">
        <x:v>罕见</x:v>
      </x:c>
      <x:c r="BH8" s="11" t="str">
        <x:v>稀有</x:v>
      </x:c>
      <x:c r="BI8" s="11" t="str">
        <x:v>稀有</x:v>
      </x:c>
      <x:c r="BJ8" s="11" t="str">
        <x:v>稀有</x:v>
      </x:c>
      <x:c r="BK8" s="11" t="str">
        <x:v>稀有</x:v>
      </x:c>
      <x:c r="BL8" s="11" t="str">
        <x:v>稀有</x:v>
      </x:c>
      <x:c r="BM8" s="11" t="str">
        <x:v>稀有</x:v>
      </x:c>
      <x:c r="BN8" s="11" t="str">
        <x:v>稀有</x:v>
      </x:c>
      <x:c r="BO8" s="11" t="str">
        <x:v>稀有</x:v>
      </x:c>
      <x:c r="BP8" s="11" t="str">
        <x:v>稀有</x:v>
      </x:c>
      <x:c r="BQ8" s="11" t="str">
        <x:v>稀有</x:v>
      </x:c>
      <x:c r="BR8" s="11" t="str">
        <x:v>稀有</x:v>
      </x:c>
      <x:c r="BS8" s="11" t="str">
        <x:v>稀有</x:v>
      </x:c>
      <x:c r="BT8" s="11" t="str">
        <x:v>稀有</x:v>
      </x:c>
      <x:c r="BU8" s="11" t="str">
        <x:v>稀有</x:v>
      </x:c>
      <x:c r="BV8" s="11" t="str">
        <x:v>稀有</x:v>
      </x:c>
      <x:c r="BW8" s="11" t="str">
        <x:v>稀有</x:v>
      </x:c>
      <x:c r="BX8" s="11" t="str">
        <x:v>稀有</x:v>
      </x:c>
    </x:row>
    <x:row r="9" ht="28" customHeight="1">
      <x:c r="A9" s="10" t="str">
        <x:v>费用 · 基础</x:v>
      </x:c>
      <x:c r="B9" s="20" t="n">
        <x:v>1</x:v>
      </x:c>
      <x:c r="C9" s="20" t="n">
        <x:v>2</x:v>
      </x:c>
      <x:c r="D9" s="20" t="n">
        <x:v>1</x:v>
      </x:c>
      <x:c r="E9" s="20" t="n">
        <x:v>2</x:v>
      </x:c>
      <x:c r="F9" s="20" t="n">
        <x:v>1</x:v>
      </x:c>
      <x:c r="G9" s="20" t="n">
        <x:v>0</x:v>
      </x:c>
      <x:c r="H9" s="20" t="n">
        <x:v>1</x:v>
      </x:c>
      <x:c r="I9" s="20" t="n">
        <x:v>1</x:v>
      </x:c>
      <x:c r="J9" s="20" t="n">
        <x:v>1</x:v>
      </x:c>
      <x:c r="K9" s="20" t="n">
        <x:v>1</x:v>
      </x:c>
      <x:c r="L9" s="20" t="n">
        <x:v>1</x:v>
      </x:c>
      <x:c r="M9" s="20" t="n">
        <x:v>1</x:v>
      </x:c>
      <x:c r="N9" s="20" t="n">
        <x:v>0</x:v>
      </x:c>
      <x:c r="O9" s="20" t="n">
        <x:v>1</x:v>
      </x:c>
      <x:c r="P9" s="20" t="n">
        <x:v>1</x:v>
      </x:c>
      <x:c r="Q9" s="20" t="n">
        <x:v>0</x:v>
      </x:c>
      <x:c r="R9" s="20" t="n">
        <x:v>0</x:v>
      </x:c>
      <x:c r="S9" s="20" t="n">
        <x:v>1</x:v>
      </x:c>
      <x:c r="T9" s="20" t="n">
        <x:v>0</x:v>
      </x:c>
      <x:c r="U9" s="20" t="n">
        <x:v>2</x:v>
      </x:c>
      <x:c r="V9" s="20" t="n">
        <x:v>1</x:v>
      </x:c>
      <x:c r="W9" s="20" t="n">
        <x:v>1</x:v>
      </x:c>
      <x:c r="X9" s="20" t="n">
        <x:v>1</x:v>
      </x:c>
      <x:c r="Y9" s="20" t="n">
        <x:v>1</x:v>
      </x:c>
      <x:c r="Z9" s="20" t="n">
        <x:v>1</x:v>
      </x:c>
      <x:c r="AA9" s="20" t="str">
        <x:v>X</x:v>
      </x:c>
      <x:c r="AB9" s="20" t="n">
        <x:v>1</x:v>
      </x:c>
      <x:c r="AC9" s="20" t="n">
        <x:v>1</x:v>
      </x:c>
      <x:c r="AD9" s="20" t="n">
        <x:v>1</x:v>
      </x:c>
      <x:c r="AE9" s="20" t="n">
        <x:v>2</x:v>
      </x:c>
      <x:c r="AF9" s="20" t="n">
        <x:v>1</x:v>
      </x:c>
      <x:c r="AG9" s="20" t="n">
        <x:v>0</x:v>
      </x:c>
      <x:c r="AH9" s="20" t="n">
        <x:v>1</x:v>
      </x:c>
      <x:c r="AI9" s="20" t="n">
        <x:v>1</x:v>
      </x:c>
      <x:c r="AJ9" s="20" t="n">
        <x:v>1</x:v>
      </x:c>
      <x:c r="AK9" s="20" t="n">
        <x:v>1</x:v>
      </x:c>
      <x:c r="AL9" s="20" t="n">
        <x:v>1</x:v>
      </x:c>
      <x:c r="AM9" s="20" t="n">
        <x:v>1</x:v>
      </x:c>
      <x:c r="AN9" s="20" t="n">
        <x:v>1</x:v>
      </x:c>
      <x:c r="AO9" s="20" t="n">
        <x:v>1</x:v>
      </x:c>
      <x:c r="AP9" s="20" t="n">
        <x:v>1</x:v>
      </x:c>
      <x:c r="AQ9" s="20" t="n">
        <x:v>2</x:v>
      </x:c>
      <x:c r="AR9" s="20" t="n">
        <x:v>1</x:v>
      </x:c>
      <x:c r="AS9" s="20" t="n">
        <x:v>1</x:v>
      </x:c>
      <x:c r="AT9" s="20" t="n">
        <x:v>4</x:v>
      </x:c>
      <x:c r="AU9" s="20" t="n">
        <x:v>2</x:v>
      </x:c>
      <x:c r="AV9" s="20" t="n">
        <x:v>1</x:v>
      </x:c>
      <x:c r="AW9" s="20" t="n">
        <x:v>2</x:v>
      </x:c>
      <x:c r="AX9" s="20" t="n">
        <x:v>2</x:v>
      </x:c>
      <x:c r="AY9" s="20" t="n">
        <x:v>1</x:v>
      </x:c>
      <x:c r="AZ9" s="20" t="n">
        <x:v>1</x:v>
      </x:c>
      <x:c r="BA9" s="20" t="n">
        <x:v>2</x:v>
      </x:c>
      <x:c r="BB9" s="20" t="n">
        <x:v>1</x:v>
      </x:c>
      <x:c r="BC9" s="20" t="n">
        <x:v>0</x:v>
      </x:c>
      <x:c r="BD9" s="20" t="n">
        <x:v>2</x:v>
      </x:c>
      <x:c r="BE9" s="20" t="n">
        <x:v>2</x:v>
      </x:c>
      <x:c r="BF9" s="20" t="n">
        <x:v>2</x:v>
      </x:c>
      <x:c r="BG9" s="20" t="n">
        <x:v>1</x:v>
      </x:c>
      <x:c r="BH9" s="20" t="n">
        <x:v>1</x:v>
      </x:c>
      <x:c r="BI9" s="20" t="n">
        <x:v>1</x:v>
      </x:c>
      <x:c r="BJ9" s="20" t="n">
        <x:v>1</x:v>
      </x:c>
      <x:c r="BK9" s="20" t="str">
        <x:v>X</x:v>
      </x:c>
      <x:c r="BL9" s="20" t="str">
        <x:v>不可打出</x:v>
      </x:c>
      <x:c r="BM9" s="20" t="n">
        <x:v>3</x:v>
      </x:c>
      <x:c r="BN9" s="20" t="n">
        <x:v>1</x:v>
      </x:c>
      <x:c r="BO9" s="20" t="n">
        <x:v>1</x:v>
      </x:c>
      <x:c r="BP9" s="20" t="n">
        <x:v>1</x:v>
      </x:c>
      <x:c r="BQ9" s="20" t="n">
        <x:v>2</x:v>
      </x:c>
      <x:c r="BR9" s="20" t="n">
        <x:v>1</x:v>
      </x:c>
      <x:c r="BS9" s="20" t="n">
        <x:v>4</x:v>
      </x:c>
      <x:c r="BT9" s="20" t="n">
        <x:v>3</x:v>
      </x:c>
      <x:c r="BU9" s="20" t="n">
        <x:v>1</x:v>
      </x:c>
      <x:c r="BV9" s="20" t="n">
        <x:v>2</x:v>
      </x:c>
      <x:c r="BW9" s="20" t="n">
        <x:v>3</x:v>
      </x:c>
      <x:c r="BX9" s="20" t="n">
        <x:v>3</x:v>
      </x:c>
    </x:row>
    <x:row r="10" ht="28" customHeight="1">
      <x:c r="A10" s="10" t="str">
        <x:v>费用 · 升级</x:v>
      </x:c>
      <x:c r="B10" s="21" t="n">
        <x:v>1</x:v>
      </x:c>
      <x:c r="C10" s="21" t="n">
        <x:v>1</x:v>
      </x:c>
      <x:c r="D10" s="21" t="n">
        <x:v>1</x:v>
      </x:c>
      <x:c r="E10" s="21" t="n">
        <x:v>2</x:v>
      </x:c>
      <x:c r="F10" s="21" t="n">
        <x:v>1</x:v>
      </x:c>
      <x:c r="G10" s="21" t="n">
        <x:v>0</x:v>
      </x:c>
      <x:c r="H10" s="21" t="n">
        <x:v>0</x:v>
      </x:c>
      <x:c r="I10" s="21" t="n">
        <x:v>1</x:v>
      </x:c>
      <x:c r="J10" s="21" t="n">
        <x:v>1</x:v>
      </x:c>
      <x:c r="K10" s="21" t="n">
        <x:v>1</x:v>
      </x:c>
      <x:c r="L10" s="21" t="n">
        <x:v>1</x:v>
      </x:c>
      <x:c r="M10" s="21" t="n">
        <x:v>1</x:v>
      </x:c>
      <x:c r="N10" s="21" t="n">
        <x:v>0</x:v>
      </x:c>
      <x:c r="O10" s="21" t="n">
        <x:v>1</x:v>
      </x:c>
      <x:c r="P10" s="21" t="n">
        <x:v>1</x:v>
      </x:c>
      <x:c r="Q10" s="21" t="n">
        <x:v>0</x:v>
      </x:c>
      <x:c r="R10" s="21" t="n">
        <x:v>0</x:v>
      </x:c>
      <x:c r="S10" s="21" t="n">
        <x:v>1</x:v>
      </x:c>
      <x:c r="T10" s="21" t="n">
        <x:v>0</x:v>
      </x:c>
      <x:c r="U10" s="21" t="n">
        <x:v>2</x:v>
      </x:c>
      <x:c r="V10" s="21" t="n">
        <x:v>1</x:v>
      </x:c>
      <x:c r="W10" s="21" t="n">
        <x:v>1</x:v>
      </x:c>
      <x:c r="X10" s="21" t="n">
        <x:v>0</x:v>
      </x:c>
      <x:c r="Y10" s="21" t="n">
        <x:v>1</x:v>
      </x:c>
      <x:c r="Z10" s="21" t="n">
        <x:v>1</x:v>
      </x:c>
      <x:c r="AA10" s="21" t="str">
        <x:v>X</x:v>
      </x:c>
      <x:c r="AB10" s="21" t="n">
        <x:v>1</x:v>
      </x:c>
      <x:c r="AC10" s="21" t="n">
        <x:v>1</x:v>
      </x:c>
      <x:c r="AD10" s="21" t="n">
        <x:v>1</x:v>
      </x:c>
      <x:c r="AE10" s="21" t="n">
        <x:v>2</x:v>
      </x:c>
      <x:c r="AF10" s="21" t="n">
        <x:v>1</x:v>
      </x:c>
      <x:c r="AG10" s="21" t="n">
        <x:v>0</x:v>
      </x:c>
      <x:c r="AH10" s="21" t="n">
        <x:v>1</x:v>
      </x:c>
      <x:c r="AI10" s="21" t="n">
        <x:v>1</x:v>
      </x:c>
      <x:c r="AJ10" s="21" t="n">
        <x:v>1</x:v>
      </x:c>
      <x:c r="AK10" s="21" t="n">
        <x:v>1</x:v>
      </x:c>
      <x:c r="AL10" s="21" t="n">
        <x:v>1</x:v>
      </x:c>
      <x:c r="AM10" s="21" t="n">
        <x:v>1</x:v>
      </x:c>
      <x:c r="AN10" s="21" t="n">
        <x:v>1</x:v>
      </x:c>
      <x:c r="AO10" s="21" t="n">
        <x:v>1</x:v>
      </x:c>
      <x:c r="AP10" s="21" t="n">
        <x:v>1</x:v>
      </x:c>
      <x:c r="AQ10" s="21" t="n">
        <x:v>2</x:v>
      </x:c>
      <x:c r="AR10" s="21" t="n">
        <x:v>0</x:v>
      </x:c>
      <x:c r="AS10" s="21" t="n">
        <x:v>1</x:v>
      </x:c>
      <x:c r="AT10" s="21" t="n">
        <x:v>4</x:v>
      </x:c>
      <x:c r="AU10" s="21" t="n">
        <x:v>2</x:v>
      </x:c>
      <x:c r="AV10" s="21" t="n">
        <x:v>1</x:v>
      </x:c>
      <x:c r="AW10" s="21" t="n">
        <x:v>1</x:v>
      </x:c>
      <x:c r="AX10" s="21" t="n">
        <x:v>2</x:v>
      </x:c>
      <x:c r="AY10" s="21" t="n">
        <x:v>1</x:v>
      </x:c>
      <x:c r="AZ10" s="21" t="n">
        <x:v>1</x:v>
      </x:c>
      <x:c r="BA10" s="21" t="n">
        <x:v>2</x:v>
      </x:c>
      <x:c r="BB10" s="21" t="n">
        <x:v>1</x:v>
      </x:c>
      <x:c r="BC10" s="21" t="n">
        <x:v>0</x:v>
      </x:c>
      <x:c r="BD10" s="21" t="n">
        <x:v>2</x:v>
      </x:c>
      <x:c r="BE10" s="21" t="n">
        <x:v>2</x:v>
      </x:c>
      <x:c r="BF10" s="21" t="n">
        <x:v>2</x:v>
      </x:c>
      <x:c r="BG10" s="21" t="n">
        <x:v>1</x:v>
      </x:c>
      <x:c r="BH10" s="21" t="n">
        <x:v>1</x:v>
      </x:c>
      <x:c r="BI10" s="21" t="n">
        <x:v>1</x:v>
      </x:c>
      <x:c r="BJ10" s="21" t="n">
        <x:v>1</x:v>
      </x:c>
      <x:c r="BK10" s="21" t="str">
        <x:v>X</x:v>
      </x:c>
      <x:c r="BL10" s="21" t="str">
        <x:v>不可打出</x:v>
      </x:c>
      <x:c r="BM10" s="21" t="n">
        <x:v>3</x:v>
      </x:c>
      <x:c r="BN10" s="21" t="n">
        <x:v>1</x:v>
      </x:c>
      <x:c r="BO10" s="21" t="n">
        <x:v>1</x:v>
      </x:c>
      <x:c r="BP10" s="21" t="n">
        <x:v>1</x:v>
      </x:c>
      <x:c r="BQ10" s="21" t="n">
        <x:v>2</x:v>
      </x:c>
      <x:c r="BR10" s="21" t="n">
        <x:v>0</x:v>
      </x:c>
      <x:c r="BS10" s="21" t="n">
        <x:v>3</x:v>
      </x:c>
      <x:c r="BT10" s="21" t="n">
        <x:v>3</x:v>
      </x:c>
      <x:c r="BU10" s="21" t="n">
        <x:v>0</x:v>
      </x:c>
      <x:c r="BV10" s="21" t="n">
        <x:v>2</x:v>
      </x:c>
      <x:c r="BW10" s="21" t="n">
        <x:v>2</x:v>
      </x:c>
      <x:c r="BX10" s="21" t="n">
        <x:v>3</x:v>
      </x:c>
    </x:row>
    <x:row r="11" ht="44" customHeight="1">
      <x:c r="A11" s="10" t="str">
        <x:v>基础效果</x:v>
      </x:c>
      <x:c r="B11" s="3" t="str">
        <x:v>获得5点格挡。</x:v>
      </x:c>
      <x:c r="C11" s="3" t="str">
        <x:v>对单个敌人造成9点伤害；进入愤怒。</x:v>
      </x:c>
      <x:c r="D11" s="3" t="str">
        <x:v>对单个敌人造成6点伤害。</x:v>
      </x:c>
      <x:c r="E11" s="3" t="str">
        <x:v>获得8点格挡；进入平静。</x:v>
      </x:c>
      <x:c r="F11" s="3" t="str">
        <x:v>场上每有一个敌人，就对选定敌人造成一次7点伤害。</x:v>
      </x:c>
      <x:c r="G11" s="3" t="str">
        <x:v>对所有敌人造成5点伤害。</x:v>
      </x:c>
      <x:c r="H11" s="3" t="str">
        <x:v>保留。进入愤怒。消耗。</x:v>
      </x:c>
      <x:c r="I11" s="3" t="str">
        <x:v>对单个敌人造成8点伤害；若上一张打出的牌是技能，施加1层易伤。</x:v>
      </x:c>
      <x:c r="J11" s="3" t="str">
        <x:v>对单个敌人造成7点伤害；占卜2；抽1张牌。</x:v>
      </x:c>
      <x:c r="K11" s="3" t="str">
        <x:v>获得7点格挡；退出当前姿态。</x:v>
      </x:c>
      <x:c r="L11" s="3" t="str">
        <x:v>对单个敌人造成9点伤害；退出当前姿态。</x:v>
      </x:c>
      <x:c r="M11" s="3" t="str">
        <x:v>获得6点格挡；将1张洞见洗入抽牌堆。</x:v>
      </x:c>
      <x:c r="N11" s="3" t="str">
        <x:v>对单个敌人造成4点伤害；每次切换姿态时，此牌从弃牌堆回到手牌。</x:v>
      </x:c>
      <x:c r="O11" s="3" t="str">
        <x:v>保留。对单个敌人造成4点伤害，重复2次。</x:v>
      </x:c>
      <x:c r="P11" s="3" t="str">
        <x:v>对单个敌人造成7点伤害；若上一张打出的牌是攻击，获得1点能量。</x:v>
      </x:c>
      <x:c r="Q11" s="3" t="str">
        <x:v>获得3点格挡；处于愤怒时，再获得9点格挡。</x:v>
      </x:c>
      <x:c r="R11" s="3" t="str">
        <x:v>占卜1；获得2点格挡；对单个敌人造成3点伤害。</x:v>
      </x:c>
      <x:c r="S11" s="3" t="str">
        <x:v>对单个敌人施加8层印记；所有敌人失去等于各自印记层数的生命。</x:v>
      </x:c>
      <x:c r="T11" s="3" t="str">
        <x:v>获得2层真言；获得4点格挡。</x:v>
      </x:c>
      <x:c r="U11" s="3" t="str">
        <x:v>保留。获得12点格挡。</x:v>
      </x:c>
      <x:c r="V11" s="3" t="str">
        <x:v>对单个敌人造成8点伤害；若上一张打出的牌是攻击，施加1层虚弱。</x:v>
      </x:c>
      <x:c r="W11" s="3" t="str">
        <x:v>获得7点格挡；占卜3。</x:v>
      </x:c>
      <x:c r="X11" s="3" t="str">
        <x:v>保留。进入平静。消耗。</x:v>
      </x:c>
      <x:c r="Y11" s="3" t="str">
        <x:v>每回合开始时，将1张惩恶加入手牌。</x:v>
      </x:c>
      <x:c r="Z11" s="3" t="str">
        <x:v>对单个敌人造成6点伤害；将1张惩恶加入手牌。</x:v>
      </x:c>
      <x:c r="AA11" s="3" t="str">
        <x:v>从下回合开始，连续X个回合在回合开始时获得1张奇迹+。消耗。</x:v>
      </x:c>
      <x:c r="AB11" s="3" t="str">
        <x:v>对所有敌人造成12点伤害；结束你的回合。</x:v>
      </x:c>
      <x:c r="AC11" s="3" t="str">
        <x:v>获得4点格挡；将1张平安加入手牌。</x:v>
      </x:c>
      <x:c r="AD11" s="3" t="str">
        <x:v>抽2张牌；退出当前姿态。</x:v>
      </x:c>
      <x:c r="AE11" s="3" t="str">
        <x:v>获得3点力量和3点敏捷；以后每回合开始时少获得1点能量。</x:v>
      </x:c>
      <x:c r="AF11" s="3" t="str">
        <x:v>对单个敌人造成8点伤害；若其意图包含攻击，进入平静。</x:v>
      </x:c>
      <x:c r="AG11" s="3" t="str">
        <x:v>从3张随机的任意颜色攻击牌中选1张加入手牌。消耗。</x:v>
      </x:c>
      <x:c r="AH11" s="3" t="str">
        <x:v>每回合开始时，占卜3。</x:v>
      </x:c>
      <x:c r="AI11" s="3" t="str">
        <x:v>若已处于愤怒，对所有敌人施加3层易伤；否则进入愤怒。</x:v>
      </x:c>
      <x:c r="AJ11" s="3" t="str">
        <x:v>若已处于平静，抽3张牌；否则进入平静。</x:v>
      </x:c>
      <x:c r="AK11" s="3" t="str">
        <x:v>你的回合结束时，若处于平静，获得5点格挡。</x:v>
      </x:c>
      <x:c r="AL11" s="3" t="str">
        <x:v>从弃牌堆选1张牌放入手牌并保留；进入平静；结束回合。</x:v>
      </x:c>
      <x:c r="AM11" s="3" t="str">
        <x:v>每次切换姿态，获得4点格挡。</x:v>
      </x:c>
      <x:c r="AN11" s="3" t="str">
        <x:v>每次占卜，获得3点格挡。</x:v>
      </x:c>
      <x:c r="AO11" s="3" t="str">
        <x:v>保留。获得5点格挡；每次此牌被保留，其格挡增加2。</x:v>
      </x:c>
      <x:c r="AP11" s="3" t="str">
        <x:v>获得3层真言；将1张洞见洗入抽牌堆。</x:v>
      </x:c>
      <x:c r="AQ11" s="3" t="str">
        <x:v>对单个敌人造成10点伤害；将1张以暴易暴洗入抽牌堆。</x:v>
      </x:c>
      <x:c r="AR11" s="3" t="str">
        <x:v>每次进入愤怒，抽2张牌。</x:v>
      </x:c>
      <x:c r="AS11" s="3" t="str">
        <x:v>获得6点格挡；若上一张打出的牌是技能，抽2张牌。</x:v>
      </x:c>
      <x:c r="AT11" s="3" t="str">
        <x:v>保留。对单个敌人造成20点伤害；每次此牌被保留，费用降低1。</x:v>
      </x:c>
      <x:c r="AU11" s="3" t="str">
        <x:v>仅当它是手牌中唯一的攻击牌时可打出；对单个敌人造成30点伤害。</x:v>
      </x:c>
      <x:c r="AV11" s="3" t="str">
        <x:v>下回合开始时，进入愤怒并额外抽2张牌。</x:v>
      </x:c>
      <x:c r="AW11" s="3" t="str">
        <x:v>每回合结束时，将1张洞见洗入抽牌堆。</x:v>
      </x:c>
      <x:c r="AX11" s="3" t="str">
        <x:v>获得8点格挡；你下一张打出的攻击牌费用为0。</x:v>
      </x:c>
      <x:c r="AY11" s="3" t="str">
        <x:v>对单个敌人造成5点伤害；此后每次攻击该敌人，获得2点格挡。消耗。</x:v>
      </x:c>
      <x:c r="AZ11" s="3" t="str">
        <x:v>对单个敌人造成3点伤害，重复3次；进入愤怒；将此牌洗入抽牌堆。</x:v>
      </x:c>
      <x:c r="BA11" s="3" t="str">
        <x:v>对单个敌人造成9点伤害；获得等于未被格挡的伤害数值的格挡。</x:v>
      </x:c>
      <x:c r="BB11" s="3" t="str">
        <x:v>本回合每次获得格挡，向所有敌人施加1层虚弱。</x:v>
      </x:c>
      <x:c r="BC11" s="3" t="str">
        <x:v>对单个敌人造成4点伤害；每次占卜，此牌从弃牌堆回到手牌。</x:v>
      </x:c>
      <x:c r="BD11" s="3" t="str">
        <x:v>对单个敌人造成15点伤害；抽2张牌。</x:v>
      </x:c>
      <x:c r="BE11" s="3" t="str">
        <x:v>保留。对单个敌人造成7点伤害；每次此牌被保留，其伤害增加4。</x:v>
      </x:c>
      <x:c r="BF11" s="3" t="str">
        <x:v>获得5层真言。</x:v>
      </x:c>
      <x:c r="BG11" s="3" t="str">
        <x:v>下一张攻击牌每段伤害增加5点。</x:v>
      </x:c>
      <x:c r="BH11" s="3" t="str">
        <x:v>将1张贝塔洗入抽牌堆。消耗。</x:v>
      </x:c>
      <x:c r="BI11" s="3" t="str">
        <x:v>进入神格；下回合死亡。消耗。</x:v>
      </x:c>
      <x:c r="BJ11" s="3" t="str">
        <x:v>对单个敌人造成12点伤害，额外加上本场战斗累计获得的真言层数。</x:v>
      </x:c>
      <x:c r="BK11" s="3" t="str">
        <x:v>将1张攻击次数为X的灭除之刃洗入抽牌堆。消耗。</x:v>
      </x:c>
      <x:c r="BL11" s="3" t="str">
        <x:v>不能被打出。抽到时，将2张奇迹加入手牌，然后消耗此牌。</x:v>
      </x:c>
      <x:c r="BM11" s="3" t="str">
        <x:v>虚无。每回合开始时获得额外能量，首次为1，以后每回合再增加1。</x:v>
      </x:c>
      <x:c r="BN11" s="3" t="str">
        <x:v>每回合开始时获得2层真言。</x:v>
      </x:c>
      <x:c r="BO11" s="3" t="str">
        <x:v>每当一张牌被保留，该牌费用在本场战斗中降低1。</x:v>
      </x:c>
      <x:c r="BP11" s="3" t="str">
        <x:v>若目标当前生命不高于30，将其生命设为0。</x:v>
      </x:c>
      <x:c r="BQ11" s="3" t="str">
        <x:v>对单个敌人造成10点伤害；若斩杀，永久升级牌组中随机1张牌。消耗。</x:v>
      </x:c>
      <x:c r="BR11" s="3" t="str">
        <x:v>战斗中新生成的卡牌获得升级。</x:v>
      </x:c>
      <x:c r="BS11" s="3" t="str">
        <x:v>从抽牌堆选1张牌，免费打出2次，再消耗该牌。消耗。</x:v>
      </x:c>
      <x:c r="BT11" s="3" t="str">
        <x:v>随机选择敌人造成5点伤害，重复5次。</x:v>
      </x:c>
      <x:c r="BU11" s="3" t="str">
        <x:v>抽牌直到手牌达到上限。消耗。</x:v>
      </x:c>
      <x:c r="BV11" s="3" t="str">
        <x:v>手牌中每有1张牌，就获得3点格挡。</x:v>
      </x:c>
      <x:c r="BW11" s="3" t="str">
        <x:v>结束当前回合，并在敌人行动前额外进行1个自己的回合。消耗。</x:v>
      </x:c>
      <x:c r="BX11" s="3" t="str">
        <x:v>三选一：获得6层多层护甲、3点力量，或25金币。消耗。</x:v>
      </x:c>
    </x:row>
    <x:row r="12" ht="44" customHeight="1">
      <x:c r="A12" s="10" t="str">
        <x:v>升级后完整效果</x:v>
      </x:c>
      <x:c r="B12" s="11" t="str">
        <x:v>获得8点格挡。</x:v>
      </x:c>
      <x:c r="C12" s="11" t="str">
        <x:v>对单个敌人造成9点伤害；进入愤怒。</x:v>
      </x:c>
      <x:c r="D12" s="11" t="str">
        <x:v>对单个敌人造成9点伤害。</x:v>
      </x:c>
      <x:c r="E12" s="11" t="str">
        <x:v>获得12点格挡；进入平静。</x:v>
      </x:c>
      <x:c r="F12" s="11" t="str">
        <x:v>场上每有一个敌人，就对选定敌人造成一次10点伤害。</x:v>
      </x:c>
      <x:c r="G12" s="11" t="str">
        <x:v>对所有敌人造成8点伤害。</x:v>
      </x:c>
      <x:c r="H12" s="11" t="str">
        <x:v>保留。进入愤怒。消耗。</x:v>
      </x:c>
      <x:c r="I12" s="11" t="str">
        <x:v>对单个敌人造成10点伤害；若上一张打出的牌是技能，施加2层易伤。</x:v>
      </x:c>
      <x:c r="J12" s="11" t="str">
        <x:v>对单个敌人造成9点伤害；占卜3；抽1张牌。</x:v>
      </x:c>
      <x:c r="K12" s="11" t="str">
        <x:v>获得10点格挡；退出当前姿态。</x:v>
      </x:c>
      <x:c r="L12" s="11" t="str">
        <x:v>对单个敌人造成14点伤害；退出当前姿态。</x:v>
      </x:c>
      <x:c r="M12" s="11" t="str">
        <x:v>获得10点格挡；将1张洞见洗入抽牌堆。</x:v>
      </x:c>
      <x:c r="N12" s="11" t="str">
        <x:v>对单个敌人造成6点伤害；每次切换姿态时，此牌从弃牌堆回到手牌。</x:v>
      </x:c>
      <x:c r="O12" s="11" t="str">
        <x:v>保留。对单个敌人造成6点伤害，重复2次。</x:v>
      </x:c>
      <x:c r="P12" s="11" t="str">
        <x:v>对单个敌人造成11点伤害；若上一张打出的牌是攻击，获得1点能量。</x:v>
      </x:c>
      <x:c r="Q12" s="11" t="str">
        <x:v>获得4点格挡；处于愤怒时，再获得14点格挡。</x:v>
      </x:c>
      <x:c r="R12" s="11" t="str">
        <x:v>占卜2；获得3点格挡；对单个敌人造成4点伤害。</x:v>
      </x:c>
      <x:c r="S12" s="11" t="str">
        <x:v>对单个敌人施加11层印记；所有敌人失去等于各自印记层数的生命。</x:v>
      </x:c>
      <x:c r="T12" s="11" t="str">
        <x:v>获得3层真言；获得4点格挡。</x:v>
      </x:c>
      <x:c r="U12" s="11" t="str">
        <x:v>保留。获得16点格挡。</x:v>
      </x:c>
      <x:c r="V12" s="11" t="str">
        <x:v>对单个敌人造成10点伤害；若上一张打出的牌是攻击，施加2层虚弱。</x:v>
      </x:c>
      <x:c r="W12" s="11" t="str">
        <x:v>获得9点格挡；占卜5。</x:v>
      </x:c>
      <x:c r="X12" s="11" t="str">
        <x:v>保留。进入平静。消耗。</x:v>
      </x:c>
      <x:c r="Y12" s="11" t="str">
        <x:v>固有。每回合开始时，将1张惩恶加入手牌。</x:v>
      </x:c>
      <x:c r="Z12" s="11" t="str">
        <x:v>对单个敌人造成10点伤害；将1张惩恶加入手牌。</x:v>
      </x:c>
      <x:c r="AA12" s="11" t="str">
        <x:v>从下回合开始，连续X+1个回合在回合开始时获得1张奇迹+。消耗。</x:v>
      </x:c>
      <x:c r="AB12" s="11" t="str">
        <x:v>对所有敌人造成16点伤害；结束你的回合。</x:v>
      </x:c>
      <x:c r="AC12" s="11" t="str">
        <x:v>获得7点格挡；将1张平安加入手牌。</x:v>
      </x:c>
      <x:c r="AD12" s="11" t="str">
        <x:v>抽3张牌；退出当前姿态。</x:v>
      </x:c>
      <x:c r="AE12" s="11" t="str">
        <x:v>获得4点力量和4点敏捷；以后每回合开始时少获得1点能量。</x:v>
      </x:c>
      <x:c r="AF12" s="11" t="str">
        <x:v>对单个敌人造成11点伤害；若其意图包含攻击，进入平静。</x:v>
      </x:c>
      <x:c r="AG12" s="11" t="str">
        <x:v>从3张随机的任意颜色攻击牌中选1张加入手牌。它在本回合费用为0。消耗。</x:v>
      </x:c>
      <x:c r="AH12" s="11" t="str">
        <x:v>每回合开始时，占卜4。</x:v>
      </x:c>
      <x:c r="AI12" s="11" t="str">
        <x:v>若已处于愤怒，对所有敌人施加5层易伤；否则进入愤怒。</x:v>
      </x:c>
      <x:c r="AJ12" s="11" t="str">
        <x:v>若已处于平静，抽4张牌；否则进入平静。</x:v>
      </x:c>
      <x:c r="AK12" s="11" t="str">
        <x:v>你的回合结束时，若处于平静，获得7点格挡。</x:v>
      </x:c>
      <x:c r="AL12" s="11" t="str">
        <x:v>从弃牌堆选2张牌放入手牌并保留；进入平静；结束回合。</x:v>
      </x:c>
      <x:c r="AM12" s="11" t="str">
        <x:v>每次切换姿态，获得6点格挡。</x:v>
      </x:c>
      <x:c r="AN12" s="11" t="str">
        <x:v>每次占卜，获得4点格挡。</x:v>
      </x:c>
      <x:c r="AO12" s="11" t="str">
        <x:v>保留。获得7点格挡；每次此牌被保留，其格挡增加3。</x:v>
      </x:c>
      <x:c r="AP12" s="11" t="str">
        <x:v>获得4层真言；将1张洞见洗入抽牌堆。</x:v>
      </x:c>
      <x:c r="AQ12" s="11" t="str">
        <x:v>对单个敌人造成15点伤害；将1张以暴易暴洗入抽牌堆。</x:v>
      </x:c>
      <x:c r="AR12" s="11" t="str">
        <x:v>每次进入愤怒，抽2张牌。</x:v>
      </x:c>
      <x:c r="AS12" s="11" t="str">
        <x:v>获得9点格挡；若上一张打出的牌是技能，抽2张牌。</x:v>
      </x:c>
      <x:c r="AT12" s="11" t="str">
        <x:v>保留。对单个敌人造成26点伤害；每次此牌被保留，费用降低1。</x:v>
      </x:c>
      <x:c r="AU12" s="11" t="str">
        <x:v>仅当它是手牌中唯一的攻击牌时可打出；对单个敌人造成40点伤害。</x:v>
      </x:c>
      <x:c r="AV12" s="11" t="str">
        <x:v>下回合开始时，进入愤怒并额外抽3张牌。</x:v>
      </x:c>
      <x:c r="AW12" s="11" t="str">
        <x:v>每回合结束时，将1张洞见洗入抽牌堆。</x:v>
      </x:c>
      <x:c r="AX12" s="11" t="str">
        <x:v>获得11点格挡；你下一张打出的攻击牌费用为0。</x:v>
      </x:c>
      <x:c r="AY12" s="11" t="str">
        <x:v>对单个敌人造成7点伤害；此后每次攻击该敌人，获得3点格挡。消耗。</x:v>
      </x:c>
      <x:c r="AZ12" s="11" t="str">
        <x:v>对单个敌人造成3点伤害，重复4次；进入愤怒；将此牌洗入抽牌堆。</x:v>
      </x:c>
      <x:c r="BA12" s="11" t="str">
        <x:v>对单个敌人造成12点伤害；获得等于未被格挡的伤害数值的格挡。</x:v>
      </x:c>
      <x:c r="BB12" s="11" t="str">
        <x:v>本回合每次获得格挡，向所有敌人施加2层虚弱。</x:v>
      </x:c>
      <x:c r="BC12" s="11" t="str">
        <x:v>对单个敌人造成6点伤害；每次占卜，此牌从弃牌堆回到手牌。</x:v>
      </x:c>
      <x:c r="BD12" s="11" t="str">
        <x:v>对单个敌人造成20点伤害；抽2张牌。</x:v>
      </x:c>
      <x:c r="BE12" s="11" t="str">
        <x:v>保留。对单个敌人造成10点伤害；每次此牌被保留，其伤害增加5。</x:v>
      </x:c>
      <x:c r="BF12" s="11" t="str">
        <x:v>保留。获得5层真言。</x:v>
      </x:c>
      <x:c r="BG12" s="11" t="str">
        <x:v>下一张攻击牌每段伤害增加8点。</x:v>
      </x:c>
      <x:c r="BH12" s="11" t="str">
        <x:v>固有。将1张贝塔洗入抽牌堆。消耗。</x:v>
      </x:c>
      <x:c r="BI12" s="11" t="str">
        <x:v>保留。进入神格；下回合死亡。消耗。</x:v>
      </x:c>
      <x:c r="BJ12" s="11" t="str">
        <x:v>对单个敌人造成16点伤害，额外加上本场战斗累计获得的真言层数。</x:v>
      </x:c>
      <x:c r="BK12" s="11" t="str">
        <x:v>将1张攻击次数为X+1的灭除之刃洗入抽牌堆。消耗。</x:v>
      </x:c>
      <x:c r="BL12" s="11" t="str">
        <x:v>不能被打出。抽到时，将3张奇迹加入手牌，然后消耗此牌。</x:v>
      </x:c>
      <x:c r="BM12" s="11" t="str">
        <x:v>每回合开始时获得额外能量，首次为1，以后每回合再增加1。</x:v>
      </x:c>
      <x:c r="BN12" s="11" t="str">
        <x:v>每回合开始时获得3层真言。</x:v>
      </x:c>
      <x:c r="BO12" s="11" t="str">
        <x:v>固有。每当一张牌被保留，该牌费用在本场战斗中降低1。</x:v>
      </x:c>
      <x:c r="BP12" s="11" t="str">
        <x:v>若目标当前生命不高于40，将其生命设为0。</x:v>
      </x:c>
      <x:c r="BQ12" s="11" t="str">
        <x:v>对单个敌人造成13点伤害；若斩杀，永久升级牌组中随机1张牌。消耗。</x:v>
      </x:c>
      <x:c r="BR12" s="11" t="str">
        <x:v>战斗中新生成的卡牌获得升级。</x:v>
      </x:c>
      <x:c r="BS12" s="11" t="str">
        <x:v>从抽牌堆选1张牌，免费打出2次，再消耗该牌。消耗。</x:v>
      </x:c>
      <x:c r="BT12" s="11" t="str">
        <x:v>随机选择敌人造成6点伤害，重复6次。</x:v>
      </x:c>
      <x:c r="BU12" s="11" t="str">
        <x:v>抽牌直到手牌达到上限。消耗。</x:v>
      </x:c>
      <x:c r="BV12" s="11" t="str">
        <x:v>手牌中每有1张牌，就获得4点格挡。</x:v>
      </x:c>
      <x:c r="BW12" s="11" t="str">
        <x:v>结束当前回合，并在敌人行动前额外进行1个自己的回合。消耗。</x:v>
      </x:c>
      <x:c r="BX12" s="11" t="str">
        <x:v>三选一：获得8层多层护甲、4点力量，或30金币。消耗。</x:v>
      </x:c>
    </x:row>
    <x:row r="13" ht="28" customHeight="1">
      <x:c r="A13" s="22" t="str">
        <x:v>升级改动</x:v>
      </x:c>
      <x:c r="B13" s="23" t="str">
        <x:v>格挡5→8</x:v>
      </x:c>
      <x:c r="C13" s="23" t="str">
        <x:v>费用2→1</x:v>
      </x:c>
      <x:c r="D13" s="23" t="str">
        <x:v>伤害6→9</x:v>
      </x:c>
      <x:c r="E13" s="23" t="str">
        <x:v>格挡8→12</x:v>
      </x:c>
      <x:c r="F13" s="23" t="str">
        <x:v>每击伤害7→10</x:v>
      </x:c>
      <x:c r="G13" s="23" t="str">
        <x:v>伤害5→8</x:v>
      </x:c>
      <x:c r="H13" s="23" t="str">
        <x:v>费用1→0</x:v>
      </x:c>
      <x:c r="I13" s="23" t="str">
        <x:v>伤害8→10；易伤1→2</x:v>
      </x:c>
      <x:c r="J13" s="23" t="str">
        <x:v>伤害7→9；占卜2→3</x:v>
      </x:c>
      <x:c r="K13" s="23" t="str">
        <x:v>格挡7→10</x:v>
      </x:c>
      <x:c r="L13" s="23" t="str">
        <x:v>伤害9→14</x:v>
      </x:c>
      <x:c r="M13" s="23" t="str">
        <x:v>格挡6→10</x:v>
      </x:c>
      <x:c r="N13" s="23" t="str">
        <x:v>伤害4→6</x:v>
      </x:c>
      <x:c r="O13" s="23" t="str">
        <x:v>每击伤害4→6</x:v>
      </x:c>
      <x:c r="P13" s="23" t="str">
        <x:v>伤害7→11</x:v>
      </x:c>
      <x:c r="Q13" s="23" t="str">
        <x:v>基础格挡3→4；额外9→14</x:v>
      </x:c>
      <x:c r="R13" s="23" t="str">
        <x:v>占卜1→2；格挡2→3；伤害3→4</x:v>
      </x:c>
      <x:c r="S13" s="23" t="str">
        <x:v>印记8→11</x:v>
      </x:c>
      <x:c r="T13" s="23" t="str">
        <x:v>真言2→3</x:v>
      </x:c>
      <x:c r="U13" s="23" t="str">
        <x:v>格挡12→16</x:v>
      </x:c>
      <x:c r="V13" s="23" t="str">
        <x:v>伤害8→10；虚弱1→2</x:v>
      </x:c>
      <x:c r="W13" s="23" t="str">
        <x:v>格挡7→9；占卜3→5</x:v>
      </x:c>
      <x:c r="X13" s="23" t="str">
        <x:v>费用1→0</x:v>
      </x:c>
      <x:c r="Y13" s="23" t="str">
        <x:v>新增固有</x:v>
      </x:c>
      <x:c r="Z13" s="23" t="str">
        <x:v>伤害6→10</x:v>
      </x:c>
      <x:c r="AA13" s="23" t="str">
        <x:v>持续X→X+1回合</x:v>
      </x:c>
      <x:c r="AB13" s="23" t="str">
        <x:v>伤害12→16</x:v>
      </x:c>
      <x:c r="AC13" s="23" t="str">
        <x:v>格挡4→7</x:v>
      </x:c>
      <x:c r="AD13" s="23" t="str">
        <x:v>抽牌2→3</x:v>
      </x:c>
      <x:c r="AE13" s="23" t="str">
        <x:v>力量与敏捷各3→4</x:v>
      </x:c>
      <x:c r="AF13" s="23" t="str">
        <x:v>伤害8→11</x:v>
      </x:c>
      <x:c r="AG13" s="23" t="str">
        <x:v>生成牌本回合变为0费</x:v>
      </x:c>
      <x:c r="AH13" s="23" t="str">
        <x:v>占卜3→4</x:v>
      </x:c>
      <x:c r="AI13" s="23" t="str">
        <x:v>易伤3→5</x:v>
      </x:c>
      <x:c r="AJ13" s="23" t="str">
        <x:v>抽牌3→4</x:v>
      </x:c>
      <x:c r="AK13" s="23" t="str">
        <x:v>格挡5→7</x:v>
      </x:c>
      <x:c r="AL13" s="23" t="str">
        <x:v>回收1→2张</x:v>
      </x:c>
      <x:c r="AM13" s="23" t="str">
        <x:v>每次格挡4→6</x:v>
      </x:c>
      <x:c r="AN13" s="23" t="str">
        <x:v>每次格挡3→4</x:v>
      </x:c>
      <x:c r="AO13" s="23" t="str">
        <x:v>基础格挡5→7；每次增长2→3</x:v>
      </x:c>
      <x:c r="AP13" s="23" t="str">
        <x:v>真言3→4</x:v>
      </x:c>
      <x:c r="AQ13" s="23" t="str">
        <x:v>伤害10→15</x:v>
      </x:c>
      <x:c r="AR13" s="23" t="str">
        <x:v>费用1→0</x:v>
      </x:c>
      <x:c r="AS13" s="23" t="str">
        <x:v>格挡6→9</x:v>
      </x:c>
      <x:c r="AT13" s="23" t="str">
        <x:v>伤害20→26</x:v>
      </x:c>
      <x:c r="AU13" s="23" t="str">
        <x:v>伤害30→40</x:v>
      </x:c>
      <x:c r="AV13" s="23" t="str">
        <x:v>额外抽牌2→3</x:v>
      </x:c>
      <x:c r="AW13" s="23" t="str">
        <x:v>费用2→1</x:v>
      </x:c>
      <x:c r="AX13" s="23" t="str">
        <x:v>格挡8→11</x:v>
      </x:c>
      <x:c r="AY13" s="23" t="str">
        <x:v>伤害5→7；每次格挡2→3</x:v>
      </x:c>
      <x:c r="AZ13" s="23" t="str">
        <x:v>次数3→4</x:v>
      </x:c>
      <x:c r="BA13" s="23" t="str">
        <x:v>伤害9→12</x:v>
      </x:c>
      <x:c r="BB13" s="23" t="str">
        <x:v>每次虚弱1→2</x:v>
      </x:c>
      <x:c r="BC13" s="23" t="str">
        <x:v>伤害4→6</x:v>
      </x:c>
      <x:c r="BD13" s="23" t="str">
        <x:v>伤害15→20</x:v>
      </x:c>
      <x:c r="BE13" s="23" t="str">
        <x:v>基础伤害7→10；每次增长4→5</x:v>
      </x:c>
      <x:c r="BF13" s="23" t="str">
        <x:v>新增保留</x:v>
      </x:c>
      <x:c r="BG13" s="23" t="str">
        <x:v>伤害加成5→8</x:v>
      </x:c>
      <x:c r="BH13" s="23" t="str">
        <x:v>新增固有</x:v>
      </x:c>
      <x:c r="BI13" s="23" t="str">
        <x:v>新增保留</x:v>
      </x:c>
      <x:c r="BJ13" s="23" t="str">
        <x:v>基础伤害12→16</x:v>
      </x:c>
      <x:c r="BK13" s="23" t="str">
        <x:v>子牌攻击次数X→X+1</x:v>
      </x:c>
      <x:c r="BL13" s="23" t="str">
        <x:v>奇迹数量2→3</x:v>
      </x:c>
      <x:c r="BM13" s="23" t="str">
        <x:v>移除虚无</x:v>
      </x:c>
      <x:c r="BN13" s="23" t="str">
        <x:v>真言2→3</x:v>
      </x:c>
      <x:c r="BO13" s="23" t="str">
        <x:v>新增固有</x:v>
      </x:c>
      <x:c r="BP13" s="23" t="str">
        <x:v>斩杀阈值30→40</x:v>
      </x:c>
      <x:c r="BQ13" s="23" t="str">
        <x:v>伤害10→13</x:v>
      </x:c>
      <x:c r="BR13" s="23" t="str">
        <x:v>费用1→0</x:v>
      </x:c>
      <x:c r="BS13" s="23" t="str">
        <x:v>费用4→3</x:v>
      </x:c>
      <x:c r="BT13" s="23" t="str">
        <x:v>每击5→6；次数5→6</x:v>
      </x:c>
      <x:c r="BU13" s="23" t="str">
        <x:v>费用1→0</x:v>
      </x:c>
      <x:c r="BV13" s="23" t="str">
        <x:v>每张格挡3→4</x:v>
      </x:c>
      <x:c r="BW13" s="23" t="str">
        <x:v>费用3→2</x:v>
      </x:c>
      <x:c r="BX13" s="23" t="str">
        <x:v>护甲6→8；力量3→4；金币25→30</x:v>
      </x:c>
    </x:row>
    <x:row r="14" ht="28" customHeight="1">
      <x:c r="A14" s="10" t="str">
        <x:v>关键词 · 基础</x:v>
      </x:c>
      <x:c r="B14" s="11" t="str">
        <x:v>—</x:v>
      </x:c>
      <x:c r="C14" s="11" t="str">
        <x:v>愤怒</x:v>
      </x:c>
      <x:c r="D14" s="11" t="str">
        <x:v>—</x:v>
      </x:c>
      <x:c r="E14" s="11" t="str">
        <x:v>平静</x:v>
      </x:c>
      <x:c r="F14" s="11" t="str">
        <x:v>—</x:v>
      </x:c>
      <x:c r="G14" s="11" t="str">
        <x:v>—</x:v>
      </x:c>
      <x:c r="H14" s="11" t="str">
        <x:v>保留、消耗、愤怒</x:v>
      </x:c>
      <x:c r="I14" s="11" t="str">
        <x:v>易伤</x:v>
      </x:c>
      <x:c r="J14" s="11" t="str">
        <x:v>占卜</x:v>
      </x:c>
      <x:c r="K14" s="11" t="str">
        <x:v>—</x:v>
      </x:c>
      <x:c r="L14" s="11" t="str">
        <x:v>—</x:v>
      </x:c>
      <x:c r="M14" s="11" t="str">
        <x:v>—</x:v>
      </x:c>
      <x:c r="N14" s="11" t="str">
        <x:v>—</x:v>
      </x:c>
      <x:c r="O14" s="11" t="str">
        <x:v>保留</x:v>
      </x:c>
      <x:c r="P14" s="11" t="str">
        <x:v>—</x:v>
      </x:c>
      <x:c r="Q14" s="11" t="str">
        <x:v>愤怒</x:v>
      </x:c>
      <x:c r="R14" s="11" t="str">
        <x:v>占卜</x:v>
      </x:c>
      <x:c r="S14" s="11" t="str">
        <x:v>印记</x:v>
      </x:c>
      <x:c r="T14" s="11" t="str">
        <x:v>真言</x:v>
      </x:c>
      <x:c r="U14" s="11" t="str">
        <x:v>保留</x:v>
      </x:c>
      <x:c r="V14" s="11" t="str">
        <x:v>虚弱</x:v>
      </x:c>
      <x:c r="W14" s="11" t="str">
        <x:v>占卜</x:v>
      </x:c>
      <x:c r="X14" s="11" t="str">
        <x:v>保留、消耗、平静</x:v>
      </x:c>
      <x:c r="Y14" s="11" t="str">
        <x:v>—</x:v>
      </x:c>
      <x:c r="Z14" s="11" t="str">
        <x:v>—</x:v>
      </x:c>
      <x:c r="AA14" s="11" t="str">
        <x:v>消耗</x:v>
      </x:c>
      <x:c r="AB14" s="11" t="str">
        <x:v>—</x:v>
      </x:c>
      <x:c r="AC14" s="11" t="str">
        <x:v>—</x:v>
      </x:c>
      <x:c r="AD14" s="11" t="str">
        <x:v>—</x:v>
      </x:c>
      <x:c r="AE14" s="11" t="str">
        <x:v>—</x:v>
      </x:c>
      <x:c r="AF14" s="11" t="str">
        <x:v>平静</x:v>
      </x:c>
      <x:c r="AG14" s="11" t="str">
        <x:v>消耗</x:v>
      </x:c>
      <x:c r="AH14" s="11" t="str">
        <x:v>占卜</x:v>
      </x:c>
      <x:c r="AI14" s="11" t="str">
        <x:v>愤怒、易伤</x:v>
      </x:c>
      <x:c r="AJ14" s="11" t="str">
        <x:v>平静</x:v>
      </x:c>
      <x:c r="AK14" s="11" t="str">
        <x:v>平静</x:v>
      </x:c>
      <x:c r="AL14" s="11" t="str">
        <x:v>保留、平静</x:v>
      </x:c>
      <x:c r="AM14" s="11" t="str">
        <x:v>—</x:v>
      </x:c>
      <x:c r="AN14" s="11" t="str">
        <x:v>占卜</x:v>
      </x:c>
      <x:c r="AO14" s="11" t="str">
        <x:v>保留</x:v>
      </x:c>
      <x:c r="AP14" s="11" t="str">
        <x:v>真言</x:v>
      </x:c>
      <x:c r="AQ14" s="11" t="str">
        <x:v>—</x:v>
      </x:c>
      <x:c r="AR14" s="11" t="str">
        <x:v>愤怒</x:v>
      </x:c>
      <x:c r="AS14" s="11" t="str">
        <x:v>—</x:v>
      </x:c>
      <x:c r="AT14" s="11" t="str">
        <x:v>保留</x:v>
      </x:c>
      <x:c r="AU14" s="11" t="str">
        <x:v>—</x:v>
      </x:c>
      <x:c r="AV14" s="11" t="str">
        <x:v>愤怒</x:v>
      </x:c>
      <x:c r="AW14" s="11" t="str">
        <x:v>—</x:v>
      </x:c>
      <x:c r="AX14" s="11" t="str">
        <x:v>—</x:v>
      </x:c>
      <x:c r="AY14" s="11" t="str">
        <x:v>消耗</x:v>
      </x:c>
      <x:c r="AZ14" s="11" t="str">
        <x:v>愤怒</x:v>
      </x:c>
      <x:c r="BA14" s="11" t="str">
        <x:v>—</x:v>
      </x:c>
      <x:c r="BB14" s="11" t="str">
        <x:v>虚弱</x:v>
      </x:c>
      <x:c r="BC14" s="11" t="str">
        <x:v>占卜</x:v>
      </x:c>
      <x:c r="BD14" s="11" t="str">
        <x:v>—</x:v>
      </x:c>
      <x:c r="BE14" s="11" t="str">
        <x:v>保留</x:v>
      </x:c>
      <x:c r="BF14" s="11" t="str">
        <x:v>真言</x:v>
      </x:c>
      <x:c r="BG14" s="11" t="str">
        <x:v>—</x:v>
      </x:c>
      <x:c r="BH14" s="11" t="str">
        <x:v>消耗</x:v>
      </x:c>
      <x:c r="BI14" s="11" t="str">
        <x:v>消耗、神格</x:v>
      </x:c>
      <x:c r="BJ14" s="11" t="str">
        <x:v>真言</x:v>
      </x:c>
      <x:c r="BK14" s="11" t="str">
        <x:v>消耗</x:v>
      </x:c>
      <x:c r="BL14" s="11" t="str">
        <x:v>消耗</x:v>
      </x:c>
      <x:c r="BM14" s="11" t="str">
        <x:v>虚无</x:v>
      </x:c>
      <x:c r="BN14" s="11" t="str">
        <x:v>真言</x:v>
      </x:c>
      <x:c r="BO14" s="11" t="str">
        <x:v>保留</x:v>
      </x:c>
      <x:c r="BP14" s="11" t="str">
        <x:v>—</x:v>
      </x:c>
      <x:c r="BQ14" s="11" t="str">
        <x:v>消耗</x:v>
      </x:c>
      <x:c r="BR14" s="11" t="str">
        <x:v>—</x:v>
      </x:c>
      <x:c r="BS14" s="11" t="str">
        <x:v>消耗</x:v>
      </x:c>
      <x:c r="BT14" s="11" t="str">
        <x:v>—</x:v>
      </x:c>
      <x:c r="BU14" s="11" t="str">
        <x:v>消耗</x:v>
      </x:c>
      <x:c r="BV14" s="11" t="str">
        <x:v>—</x:v>
      </x:c>
      <x:c r="BW14" s="11" t="str">
        <x:v>消耗</x:v>
      </x:c>
      <x:c r="BX14" s="11" t="str">
        <x:v>消耗</x:v>
      </x:c>
    </x:row>
    <x:row r="15" ht="28" customHeight="1">
      <x:c r="A15" s="10" t="str">
        <x:v>设计职责 · 分析</x:v>
      </x:c>
      <x:c r="B15" s="3" t="str">
        <x:v>基础防御</x:v>
      </x:c>
      <x:c r="C15" s="3" t="str">
        <x:v>姿态入口</x:v>
      </x:c>
      <x:c r="D15" s="3" t="str">
        <x:v>基础输出</x:v>
      </x:c>
      <x:c r="E15" s="3" t="str">
        <x:v>防御／姿态入口</x:v>
      </x:c>
      <x:c r="F15" s="3" t="str">
        <x:v>多段输出</x:v>
      </x:c>
      <x:c r="G15" s="3" t="str">
        <x:v>低费群攻</x:v>
      </x:c>
      <x:c r="H15" s="3" t="str">
        <x:v>可保留姿态入口</x:v>
      </x:c>
      <x:c r="I15" s="3" t="str">
        <x:v>输出／减益</x:v>
      </x:c>
      <x:c r="J15" s="3" t="str">
        <x:v>筛牌／抽牌／输出</x:v>
      </x:c>
      <x:c r="K15" s="3" t="str">
        <x:v>防御／姿态出口</x:v>
      </x:c>
      <x:c r="L15" s="3" t="str">
        <x:v>输出／姿态出口</x:v>
      </x:c>
      <x:c r="M15" s="3" t="str">
        <x:v>防御／生成抽牌</x:v>
      </x:c>
      <x:c r="N15" s="3" t="str">
        <x:v>循环输出</x:v>
      </x:c>
      <x:c r="O15" s="3" t="str">
        <x:v>保留／多段输出</x:v>
      </x:c>
      <x:c r="P15" s="3" t="str">
        <x:v>输出／能量返还</x:v>
      </x:c>
      <x:c r="Q15" s="3" t="str">
        <x:v>姿态条件防御</x:v>
      </x:c>
      <x:c r="R15" s="3" t="str">
        <x:v>低费筛牌／攻防</x:v>
      </x:c>
      <x:c r="S15" s="3" t="str">
        <x:v>叠层／全场兑现</x:v>
      </x:c>
      <x:c r="T15" s="3" t="str">
        <x:v>阈值资源／防御</x:v>
      </x:c>
      <x:c r="U15" s="3" t="str">
        <x:v>可储存防御</x:v>
      </x:c>
      <x:c r="V15" s="3" t="str">
        <x:v>输出／减益</x:v>
      </x:c>
      <x:c r="W15" s="3" t="str">
        <x:v>防御／筛牌</x:v>
      </x:c>
      <x:c r="X15" s="3" t="str">
        <x:v>可保留姿态入口</x:v>
      </x:c>
      <x:c r="Y15" s="3" t="str">
        <x:v>持续生成输出</x:v>
      </x:c>
      <x:c r="Z15" s="3" t="str">
        <x:v>输出／生成保留攻击</x:v>
      </x:c>
      <x:c r="AA15" s="3" t="str">
        <x:v>延迟能量／生成</x:v>
      </x:c>
      <x:c r="AB15" s="3" t="str">
        <x:v>高效群攻／回合终结</x:v>
      </x:c>
      <x:c r="AC15" s="3" t="str">
        <x:v>分段防御／生成</x:v>
      </x:c>
      <x:c r="AD15" s="3" t="str">
        <x:v>抽牌／姿态出口</x:v>
      </x:c>
      <x:c r="AE15" s="3" t="str">
        <x:v>攻防成长／资源代价</x:v>
      </x:c>
      <x:c r="AF15" s="3" t="str">
        <x:v>条件姿态入口／输出</x:v>
      </x:c>
      <x:c r="AG15" s="3" t="str">
        <x:v>生成／临场解答</x:v>
      </x:c>
      <x:c r="AH15" s="3" t="str">
        <x:v>持续筛牌</x:v>
      </x:c>
      <x:c r="AI15" s="3" t="str">
        <x:v>姿态入口／状态内收益</x:v>
      </x:c>
      <x:c r="AJ15" s="3" t="str">
        <x:v>姿态入口／状态内抽牌</x:v>
      </x:c>
      <x:c r="AK15" s="3" t="str">
        <x:v>姿态条件防御</x:v>
      </x:c>
      <x:c r="AL15" s="3" t="str">
        <x:v>定向回收／保留／姿态入口</x:v>
      </x:c>
      <x:c r="AM15" s="3" t="str">
        <x:v>姿态切换回报</x:v>
      </x:c>
      <x:c r="AN15" s="3" t="str">
        <x:v>筛牌事件回报</x:v>
      </x:c>
      <x:c r="AO15" s="3" t="str">
        <x:v>保留成长防御</x:v>
      </x:c>
      <x:c r="AP15" s="3" t="str">
        <x:v>阈值资源／生成抽牌</x:v>
      </x:c>
      <x:c r="AQ15" s="3" t="str">
        <x:v>延迟爆发／生成</x:v>
      </x:c>
      <x:c r="AR15" s="3" t="str">
        <x:v>姿态抽牌引擎</x:v>
      </x:c>
      <x:c r="AS15" s="3" t="str">
        <x:v>条件抽牌／防御</x:v>
      </x:c>
      <x:c r="AT15" s="3" t="str">
        <x:v>保留降费输出</x:v>
      </x:c>
      <x:c r="AU15" s="3" t="str">
        <x:v>手牌条件爆发</x:v>
      </x:c>
      <x:c r="AV15" s="3" t="str">
        <x:v>延迟姿态入口／抽牌</x:v>
      </x:c>
      <x:c r="AW15" s="3" t="str">
        <x:v>持续生成抽牌</x:v>
      </x:c>
      <x:c r="AX15" s="3" t="str">
        <x:v>防御／攻击费用转换</x:v>
      </x:c>
      <x:c r="AY15" s="3" t="str">
        <x:v>攻击事件回报</x:v>
      </x:c>
      <x:c r="AZ15" s="3" t="str">
        <x:v>多段输出／姿态入口</x:v>
      </x:c>
      <x:c r="BA15" s="3" t="str">
        <x:v>攻击转防御</x:v>
      </x:c>
      <x:c r="BB15" s="3" t="str">
        <x:v>防御事件回报</x:v>
      </x:c>
      <x:c r="BC15" s="3" t="str">
        <x:v>筛牌回收／输出</x:v>
      </x:c>
      <x:c r="BD15" s="3" t="str">
        <x:v>输出／抽牌</x:v>
      </x:c>
      <x:c r="BE15" s="3" t="str">
        <x:v>保留成长输出</x:v>
      </x:c>
      <x:c r="BF15" s="3" t="str">
        <x:v>阈值资源</x:v>
      </x:c>
      <x:c r="BG15" s="3" t="str">
        <x:v>多段攻击放大</x:v>
      </x:c>
      <x:c r="BH15" s="3" t="str">
        <x:v>多阶段启动</x:v>
      </x:c>
      <x:c r="BI15" s="3" t="str">
        <x:v>高风险爆发入口</x:v>
      </x:c>
      <x:c r="BJ15" s="3" t="str">
        <x:v>累计资源回报</x:v>
      </x:c>
      <x:c r="BK15" s="3" t="str">
        <x:v>能量储存／生成输出</x:v>
      </x:c>
      <x:c r="BL15" s="3" t="str">
        <x:v>抽取触发／生成能量</x:v>
      </x:c>
      <x:c r="BM15" s="3" t="str">
        <x:v>持续能量成长</x:v>
      </x:c>
      <x:c r="BN15" s="3" t="str">
        <x:v>持续阈值资源</x:v>
      </x:c>
      <x:c r="BO15" s="3" t="str">
        <x:v>保留回报／降费</x:v>
      </x:c>
      <x:c r="BP15" s="3" t="str">
        <x:v>阈值斩杀</x:v>
      </x:c>
      <x:c r="BQ15" s="3" t="str">
        <x:v>输出／局外成长</x:v>
      </x:c>
      <x:c r="BR15" s="3" t="str">
        <x:v>生成牌回报</x:v>
      </x:c>
      <x:c r="BS15" s="3" t="str">
        <x:v>定向检索／复制结算</x:v>
      </x:c>
      <x:c r="BT15" s="3" t="str">
        <x:v>多段爆发</x:v>
      </x:c>
      <x:c r="BU15" s="3" t="str">
        <x:v>爆发抽牌</x:v>
      </x:c>
      <x:c r="BV15" s="3" t="str">
        <x:v>手牌数量转防御</x:v>
      </x:c>
      <x:c r="BW15" s="3" t="str">
        <x:v>回合控制／重新抽牌</x:v>
      </x:c>
      <x:c r="BX15" s="3" t="str">
        <x:v>成长／防御／经济选择</x:v>
      </x:c>
    </x:row>
    <x:row r="16" ht="76" customHeight="1">
      <x:c r="A16" s="24" t="str">
        <x:v>适配构筑包 · 分析</x:v>
      </x:c>
      <x:c r="B16" s="25" t="str">
        <x:v>通用支撑与过渡：核心</x:v>
      </x:c>
      <x:c r="C16" s="25" t="str">
        <x:v>姿态循环：核心；愤怒爆发：核心</x:v>
      </x:c>
      <x:c r="D16" s="25" t="str">
        <x:v>通用支撑与过渡：核心</x:v>
      </x:c>
      <x:c r="E16" s="25" t="str">
        <x:v>姿态循环：补件</x:v>
      </x:c>
      <x:c r="F16" s="25" t="str">
        <x:v>愤怒爆发：补件</x:v>
      </x:c>
      <x:c r="G16" s="25" t="str">
        <x:v>愤怒爆发：补件</x:v>
      </x:c>
      <x:c r="H16" s="25" t="str">
        <x:v>愤怒爆发：核心；保留蓄力：补件</x:v>
      </x:c>
      <x:c r="I16" s="25" t="str">
        <x:v>愤怒爆发：补件</x:v>
      </x:c>
      <x:c r="J16" s="25" t="str">
        <x:v>占卜回收：核心；通用支撑与过渡：补件</x:v>
      </x:c>
      <x:c r="K16" s="25" t="str">
        <x:v>姿态循环：补件；通用支撑与过渡：补件</x:v>
      </x:c>
      <x:c r="L16" s="25" t="str">
        <x:v>姿态循环：补件；愤怒爆发：补件</x:v>
      </x:c>
      <x:c r="M16" s="25" t="str">
        <x:v>生成升级：核心</x:v>
      </x:c>
      <x:c r="N16" s="25" t="str">
        <x:v>姿态循环：核心</x:v>
      </x:c>
      <x:c r="O16" s="25" t="str">
        <x:v>愤怒爆发：补件；保留蓄力：补件</x:v>
      </x:c>
      <x:c r="P16" s="25" t="str">
        <x:v>愤怒爆发：补件</x:v>
      </x:c>
      <x:c r="Q16" s="25" t="str">
        <x:v>愤怒爆发：补件；格挡与减益回报：补件</x:v>
      </x:c>
      <x:c r="R16" s="25" t="str">
        <x:v>占卜回收：核心</x:v>
      </x:c>
      <x:c r="S16" s="25" t="str">
        <x:v>点穴叠层：核心</x:v>
      </x:c>
      <x:c r="T16" s="25" t="str">
        <x:v>真言神格：核心</x:v>
      </x:c>
      <x:c r="U16" s="25" t="str">
        <x:v>保留蓄力：核心；阿尔法与全知：补件</x:v>
      </x:c>
      <x:c r="V16" s="25" t="str">
        <x:v>愤怒爆发：补件；格挡与减益回报：补件；通用支撑与过渡：补件</x:v>
      </x:c>
      <x:c r="W16" s="25" t="str">
        <x:v>占卜回收：核心；点穴叠层：补件；阿尔法与全知：补件；通用支撑与过渡：补件</x:v>
      </x:c>
      <x:c r="X16" s="25" t="str">
        <x:v>姿态循环：补件；愤怒爆发：补件；保留蓄力：补件</x:v>
      </x:c>
      <x:c r="Y16" s="25" t="str">
        <x:v>保留蓄力：补件；生成升级：核心</x:v>
      </x:c>
      <x:c r="Z16" s="25" t="str">
        <x:v>生成升级：核心</x:v>
      </x:c>
      <x:c r="AA16" s="25" t="str">
        <x:v>生成升级：补件；能量与属性成长：核心</x:v>
      </x:c>
      <x:c r="AB16" s="25" t="str">
        <x:v>愤怒爆发：补件</x:v>
      </x:c>
      <x:c r="AC16" s="25" t="str">
        <x:v>保留蓄力：补件；生成升级：核心；格挡与减益回报：补件</x:v>
      </x:c>
      <x:c r="AD16" s="25" t="str">
        <x:v>姿态循环：核心；点穴叠层：补件</x:v>
      </x:c>
      <x:c r="AE16" s="25" t="str">
        <x:v>占卜回收：补件；能量与属性成长：核心</x:v>
      </x:c>
      <x:c r="AF16" s="25" t="str">
        <x:v>姿态循环：核心</x:v>
      </x:c>
      <x:c r="AG16" s="25" t="str">
        <x:v>生成升级：补件；通用支撑与过渡：核心</x:v>
      </x:c>
      <x:c r="AH16" s="25" t="str">
        <x:v>占卜回收：核心</x:v>
      </x:c>
      <x:c r="AI16" s="25" t="str">
        <x:v>愤怒爆发：核心</x:v>
      </x:c>
      <x:c r="AJ16" s="25" t="str">
        <x:v>姿态循环：核心；点穴叠层：补件</x:v>
      </x:c>
      <x:c r="AK16" s="25" t="str">
        <x:v>格挡与减益回报：核心；点穴叠层：补件；阿尔法与全知：补件</x:v>
      </x:c>
      <x:c r="AL16" s="25" t="str">
        <x:v>姿态循环：补件；保留蓄力：核心；真言神格：补件；点穴叠层：补件；阿尔法与全知：补件</x:v>
      </x:c>
      <x:c r="AM16" s="25" t="str">
        <x:v>姿态循环：核心；格挡与减益回报：核心</x:v>
      </x:c>
      <x:c r="AN16" s="25" t="str">
        <x:v>占卜回收：核心；格挡与减益回报：核心</x:v>
      </x:c>
      <x:c r="AO16" s="25" t="str">
        <x:v>保留蓄力：核心；格挡与减益回报：补件</x:v>
      </x:c>
      <x:c r="AP16" s="25" t="str">
        <x:v>真言神格：核心；生成升级：核心</x:v>
      </x:c>
      <x:c r="AQ16" s="25" t="str">
        <x:v>保留蓄力：补件；生成升级：核心</x:v>
      </x:c>
      <x:c r="AR16" s="25" t="str">
        <x:v>姿态循环：核心</x:v>
      </x:c>
      <x:c r="AS16" s="25" t="str">
        <x:v>格挡与减益回报：补件；点穴叠层：补件；通用支撑与过渡：核心</x:v>
      </x:c>
      <x:c r="AT16" s="25" t="str">
        <x:v>保留蓄力：核心；真言神格：补件</x:v>
      </x:c>
      <x:c r="AU16" s="25" t="str">
        <x:v>愤怒爆发：补件</x:v>
      </x:c>
      <x:c r="AV16" s="25" t="str">
        <x:v>愤怒爆发：核心</x:v>
      </x:c>
      <x:c r="AW16" s="25" t="str">
        <x:v>生成升级：核心</x:v>
      </x:c>
      <x:c r="AX16" s="25" t="str">
        <x:v>愤怒爆发：补件；能量与属性成长：补件</x:v>
      </x:c>
      <x:c r="AY16" s="25" t="str">
        <x:v>姿态循环：补件；占卜回收：补件；格挡与减益回报：核心</x:v>
      </x:c>
      <x:c r="AZ16" s="25" t="str">
        <x:v>姿态循环：核心；愤怒爆发：核心</x:v>
      </x:c>
      <x:c r="BA16" s="25" t="str">
        <x:v>愤怒爆发：核心；格挡与减益回报：核心</x:v>
      </x:c>
      <x:c r="BB16" s="25" t="str">
        <x:v>格挡与减益回报：核心</x:v>
      </x:c>
      <x:c r="BC16" s="25" t="str">
        <x:v>占卜回收：核心</x:v>
      </x:c>
      <x:c r="BD16" s="25" t="str">
        <x:v>愤怒爆发：补件；能量与属性成长：补件；通用支撑与过渡：补件</x:v>
      </x:c>
      <x:c r="BE16" s="25" t="str">
        <x:v>保留蓄力：核心；真言神格：补件</x:v>
      </x:c>
      <x:c r="BF16" s="25" t="str">
        <x:v>保留蓄力：补件；真言神格：核心</x:v>
      </x:c>
      <x:c r="BG16" s="25" t="str">
        <x:v>愤怒爆发：补件；能量与属性成长：补件</x:v>
      </x:c>
      <x:c r="BH16" s="25" t="str">
        <x:v>阿尔法与全知：核心</x:v>
      </x:c>
      <x:c r="BI16" s="25" t="str">
        <x:v>愤怒爆发：补件；真言神格：核心</x:v>
      </x:c>
      <x:c r="BJ16" s="25" t="str">
        <x:v>真言神格：核心</x:v>
      </x:c>
      <x:c r="BK16" s="25" t="str">
        <x:v>生成升级：补件；能量与属性成长：核心</x:v>
      </x:c>
      <x:c r="BL16" s="25" t="str">
        <x:v>生成升级：补件；能量与属性成长：核心</x:v>
      </x:c>
      <x:c r="BM16" s="25" t="str">
        <x:v>能量与属性成长：核心</x:v>
      </x:c>
      <x:c r="BN16" s="25" t="str">
        <x:v>真言神格：核心</x:v>
      </x:c>
      <x:c r="BO16" s="25" t="str">
        <x:v>保留蓄力：核心；生成升级：补件</x:v>
      </x:c>
      <x:c r="BP16" s="25" t="str">
        <x:v>通用支撑与过渡：核心</x:v>
      </x:c>
      <x:c r="BQ16" s="25" t="str">
        <x:v>通用支撑与过渡：核心</x:v>
      </x:c>
      <x:c r="BR16" s="25" t="str">
        <x:v>生成升级：核心；阿尔法与全知：补件</x:v>
      </x:c>
      <x:c r="BS16" s="25" t="str">
        <x:v>能量与属性成长：补件；阿尔法与全知：核心</x:v>
      </x:c>
      <x:c r="BT16" s="25" t="str">
        <x:v>愤怒爆发：核心；真言神格：补件；能量与属性成长：补件</x:v>
      </x:c>
      <x:c r="BU16" s="25" t="str">
        <x:v>姿态循环：补件；占卜回收：补件；真言神格：补件；能量与属性成长：补件；阿尔法与全知：补件；通用支撑与过渡：核心</x:v>
      </x:c>
      <x:c r="BV16" s="25" t="str">
        <x:v>保留蓄力：补件；格挡与减益回报：补件</x:v>
      </x:c>
      <x:c r="BW16" s="25" t="str">
        <x:v>阿尔法与全知：补件；通用支撑与过渡：核心</x:v>
      </x:c>
      <x:c r="BX16" s="25" t="str">
        <x:v>能量与属性成长：核心；通用支撑与过渡：核心</x:v>
      </x:c>
    </x:row>
    <x:row r="17" ht="44" customHeight="1">
      <x:c r="A17" s="24" t="str">
        <x:v>时序／使用边界</x:v>
      </x:c>
      <x:c r="B17" s="26" t="str">
        <x:v>初始牌；作为无条件格挡的基准。</x:v>
      </x:c>
      <x:c r="C17" s="26" t="str">
        <x:v>先攻击再切姿态；本次攻击不自动享受新进入的愤怒倍率。</x:v>
      </x:c>
      <x:c r="D17" s="26" t="str">
        <x:v>初始牌；作为无条件单体攻击的基准。</x:v>
      </x:c>
      <x:c r="E17" s="26" t="str">
        <x:v>进入平静不直接给能量，退出平静才给。</x:v>
      </x:c>
      <x:c r="F17" s="26" t="str">
        <x:v>按敌人数对一个目标多次攻击，不是群攻。</x:v>
      </x:c>
      <x:c r="G17" s="26" t="str">
        <x:v>0费但仍占抽牌与出牌次数。</x:v>
      </x:c>
      <x:c r="H17" s="26" t="str">
        <x:v>一次性入口；需要退出手段或当回合结束战斗。</x:v>
      </x:c>
      <x:c r="I17" s="26" t="str">
        <x:v>只检查紧邻上一张牌；易伤在本牌伤害后施加。</x:v>
      </x:c>
      <x:c r="J17" s="26" t="str">
        <x:v>先占卜后抽牌，可筛选本次要抽到的牌。</x:v>
      </x:c>
      <x:c r="K17" s="26" t="str">
        <x:v>无姿态时不会凭空产生一次姿态切换。</x:v>
      </x:c>
      <x:c r="L17" s="26" t="str">
        <x:v>先结算攻击，因而可享受退出前的愤怒或神格。</x:v>
      </x:c>
      <x:c r="M17" s="26" t="str">
        <x:v>升级只提高格挡，不将洞见升级。</x:v>
      </x:c>
      <x:c r="N17" s="26" t="str">
        <x:v>回收只作用于弃牌堆中的此牌；留意手牌上限。</x:v>
      </x:c>
      <x:c r="O17" s="26" t="str">
        <x:v>总基础伤害8→12；力量按两次攻击结算。</x:v>
      </x:c>
      <x:c r="P17" s="26" t="str">
        <x:v>满足条件时才返能；仍需要先付出本牌费用。</x:v>
      </x:c>
      <x:c r="Q17" s="26" t="str">
        <x:v>愤怒下无修正总格挡12→18；额外部分单独结算。</x:v>
      </x:c>
      <x:c r="R17" s="26" t="str">
        <x:v>占卜不等于抽牌；本牌自身不补充手牌。</x:v>
      </x:c>
      <x:c r="S17" s="26" t="str">
        <x:v>生命流失不是攻击伤害；不吃愤怒、神格、力量或易伤加成。</x:v>
      </x:c>
      <x:c r="T17" s="26" t="str">
        <x:v>升级不提高格挡；真言阈值需要跨牌计算。</x:v>
      </x:c>
      <x:c r="U17" s="26" t="str">
        <x:v>用于把防御留给威胁较高的回合。</x:v>
      </x:c>
      <x:c r="V17" s="26" t="str">
        <x:v>按上一张牌类型触发，不能跳过中间的技能牌。</x:v>
      </x:c>
      <x:c r="W17" s="26" t="str">
        <x:v>不直接抽牌；可为后续抽牌或下一回合准备。</x:v>
      </x:c>
      <x:c r="X17" s="26" t="str">
        <x:v>可作为愤怒出口，但消耗后不能持续参与循环。</x:v>
      </x:c>
      <x:c r="Y17" s="26" t="str">
        <x:v>不是打出时立刻生成；每回合生成可能挤占手牌。</x:v>
      </x:c>
      <x:c r="Z17" s="26" t="str">
        <x:v>升级不提高惩恶等级；惩恶需要另付1费。</x:v>
      </x:c>
      <x:c r="AA17" s="26" t="str">
        <x:v>投入能量决定持续回合数；每回合固定给1张奇迹+。</x:v>
      </x:c>
      <x:c r="AB17" s="26" t="str">
        <x:v>未击杀时，打出前应完成防御和退出愤怒。</x:v>
      </x:c>
      <x:c r="AC17" s="26" t="str">
        <x:v>升级不提高平安等级；第一段即时，第二段可保留。</x:v>
      </x:c>
      <x:c r="AD17" s="26" t="str">
        <x:v>实际先抽牌再退出；英文聚合页顺序简写与此不同。</x:v>
      </x:c>
      <x:c r="AE17" s="26" t="str">
        <x:v>能量惩罚从后续回合生效；需低费牌或补能支持。</x:v>
      </x:c>
      <x:c r="AF17" s="26" t="str">
        <x:v>敌人没有攻击意图时不能靠它退出愤怒。</x:v>
      </x:c>
      <x:c r="AG17" s="26" t="str">
        <x:v>升级改变生成牌的本回合费用，不保证抽到特定攻击。</x:v>
      </x:c>
      <x:c r="AH17" s="26" t="str">
        <x:v>每回合启动，不是额外抽牌；占卜不触发洗牌。</x:v>
      </x:c>
      <x:c r="AI17" s="26" t="str">
        <x:v>两种分支二选一；入愤怒的同一次使用不会附带易伤。</x:v>
      </x:c>
      <x:c r="AJ17" s="26" t="str">
        <x:v>入平静与抽牌为互斥分支；不能将入平静视为抽牌。</x:v>
      </x:c>
      <x:c r="AK17" s="26" t="str">
        <x:v>要求以平静结束回合，与立即退出平静取能形成取舍。</x:v>
      </x:c>
      <x:c r="AL17" s="26" t="str">
        <x:v>赋予该次回合结束的保留，不是永久增加保留关键词。</x:v>
      </x:c>
      <x:c r="AM17" s="26" t="str">
        <x:v>重复进入当前姿态不算切换；可以与输出循环并行产防。</x:v>
      </x:c>
      <x:c r="AN17" s="26" t="str">
        <x:v>按占卜事件次数结算，不按查看或弃掉的牌数。</x:v>
      </x:c>
      <x:c r="AO17" s="26" t="str">
        <x:v>成长在保留结算时发生；本战斗内持续。</x:v>
      </x:c>
      <x:c r="AP17" s="26" t="str">
        <x:v>升级不提高洞见等级；生成的抽牌有抽到它的延迟。</x:v>
      </x:c>
      <x:c r="AQ17" s="26" t="str">
        <x:v>以暴易暴不直接到手；升级母牌不会升级子牌。</x:v>
      </x:c>
      <x:c r="AR17" s="26" t="str">
        <x:v>已在愤怒时再次尝试进入愤怒，不触发入场抽牌。</x:v>
      </x:c>
      <x:c r="AS17" s="26" t="str">
        <x:v>抽牌量不随升级增加；需要前置技能牌。</x:v>
      </x:c>
      <x:c r="AT17" s="26" t="str">
        <x:v>初始费用仍为4；保留后才逐步降费。</x:v>
      </x:c>
      <x:c r="AU17" s="26" t="str">
        <x:v>保留攻击或持续造攻击牌可能妨碍满足条件。</x:v>
      </x:c>
      <x:c r="AV17" s="26" t="str">
        <x:v>提前承诺下回合进入愤怒，需要准备出口。</x:v>
      </x:c>
      <x:c r="AW17" s="26" t="str">
        <x:v>回合结束生成，仍需先抽到洞见；可能稀释小牌组循环。</x:v>
      </x:c>
      <x:c r="AX17" s="26" t="str">
        <x:v>只替代下一张攻击的费用，不能让整个回合攻击免费。</x:v>
      </x:c>
      <x:c r="AY17" s="26" t="str">
        <x:v>敌方减益可被人工制品阻挡；多段攻击按每段触发。</x:v>
      </x:c>
      <x:c r="AZ17" s="26" t="str">
        <x:v>先攻击后进愤怒；返回抽牌堆，不是回手或弃牌。</x:v>
      </x:c>
      <x:c r="BA17" s="26" t="str">
        <x:v>只按穿过敌人格挡的伤害计算，不能直接按牌面伤害算。</x:v>
      </x:c>
      <x:c r="BB17" s="26" t="str">
        <x:v>按获得格挡的次数触发，不按格挡量触发。</x:v>
      </x:c>
      <x:c r="BC17" s="26" t="str">
        <x:v>空抽牌堆占卜不会回收迂回；占卜不会自行洗牌。</x:v>
      </x:c>
      <x:c r="BD17" s="26" t="str">
        <x:v>2费带来即时伤害与手牌补充。</x:v>
      </x:c>
      <x:c r="BE17" s="26" t="str">
        <x:v>保留次数累积成长，不是按经过任意回合数成长。</x:v>
      </x:c>
      <x:c r="BF17" s="26" t="str">
        <x:v>升级不增加真言；改善神格触发的可控性。</x:v>
      </x:c>
      <x:c r="BG17" s="26" t="str">
        <x:v>加成用于下一张攻击，而不是只给第一段；提前打小攻击会消耗它。</x:v>
      </x:c>
      <x:c r="BH17" s="26" t="str">
        <x:v>阿尔法升级不自动升级贝塔或欧米伽。</x:v>
      </x:c>
      <x:c r="BI17" s="26" t="str">
        <x:v>必须把死亡代价纳入计划；与普通真言入神格的代价不同。</x:v>
      </x:c>
      <x:c r="BJ17" s="26" t="str">
        <x:v>读取累计获得量，已消耗的真言仍计入。</x:v>
      </x:c>
      <x:c r="BK17" s="26" t="str">
        <x:v>X由施放母牌的能量投入决定；灭除之刃本身费用为1。</x:v>
      </x:c>
      <x:c r="BL17" s="26" t="str">
        <x:v>必须发生抽牌触发；不是打出效果，奇迹默认未升级。</x:v>
      </x:c>
      <x:c r="BM17" s="26" t="str">
        <x:v>支付3费后从后续回合回报；升级不降低费用。</x:v>
      </x:c>
      <x:c r="BN17" s="26" t="str">
        <x:v>打出当下不立即给真言；需要回合推进。</x:v>
      </x:c>
      <x:c r="BO17" s="26" t="str">
        <x:v>普通费用最低为0；保留事件才触发，单纯停在手中不等于结算保留。</x:v>
      </x:c>
      <x:c r="BP17" s="26" t="str">
        <x:v>不是造成30或40伤害；高于阈值时没有该效果。</x:v>
      </x:c>
      <x:c r="BQ17" s="26" t="str">
        <x:v>必须由此牌满足斩杀条件；召唤物等不提供正常斩杀收益。</x:v>
      </x:c>
      <x:c r="BR17" s="26" t="str">
        <x:v>影响能力生效之后生成的牌，不追溯升级此前生成的牌。</x:v>
      </x:c>
      <x:c r="BS17" s="26" t="str">
        <x:v>目标须在抽牌堆；重复结算会重复目标牌的副作用。</x:v>
      </x:c>
      <x:c r="BT17" s="26" t="str">
        <x:v>总基础伤害25→36；多敌人时可能分散。</x:v>
      </x:c>
      <x:c r="BU17" s="26" t="str">
        <x:v>通常手牌上限为10；实际抽牌数取决于剩余手牌。</x:v>
      </x:c>
      <x:c r="BV17" s="26" t="str">
        <x:v>结算时不把已打出的精神护盾本身算作剩余手牌。</x:v>
      </x:c>
      <x:c r="BW17" s="26" t="str">
        <x:v>会推进自己的回合开始与结束效果；不等于把手牌免费再打一遍。</x:v>
      </x:c>
      <x:c r="BX17" s="26" t="str">
        <x:v>三个选项只选一个；金币属于路线经济收益。</x:v>
      </x:c>
    </x:row>
    <x:row r="18" ht="44" customHeight="1">
      <x:c r="A18" s="10" t="str">
        <x:v>英文效果来源</x:v>
      </x:c>
      <x:c r="B18" s="27" t="str">
        <x:v>https://www.slaythespire.gg/cards/watcher/Defend</x:v>
      </x:c>
      <x:c r="C18" s="27" t="str">
        <x:v>https://www.slaythespire.gg/cards/watcher/Eruption</x:v>
      </x:c>
      <x:c r="D18" s="27" t="str">
        <x:v>https://www.slaythespire.gg/cards/watcher/Strike</x:v>
      </x:c>
      <x:c r="E18" s="27" t="str">
        <x:v>https://www.slaythespire.gg/cards/watcher/Vigilance</x:v>
      </x:c>
      <x:c r="F18" s="27" t="str">
        <x:v>https://www.slaythespire.gg/cards/watcher/Bowling_Bash</x:v>
      </x:c>
      <x:c r="G18" s="27" t="str">
        <x:v>https://www.slaythespire.gg/cards/watcher/Consecrate</x:v>
      </x:c>
      <x:c r="H18" s="27" t="str">
        <x:v>https://www.slaythespire.gg/cards/watcher/Crescendo</x:v>
      </x:c>
      <x:c r="I18" s="27" t="str">
        <x:v>https://www.slaythespire.gg/cards/watcher/Crush_Joints</x:v>
      </x:c>
      <x:c r="J18" s="27" t="str">
        <x:v>https://www.slaythespire.gg/cards/watcher/Cut_Through_Fate</x:v>
      </x:c>
      <x:c r="K18" s="27" t="str">
        <x:v>https://www.slaythespire.gg/cards/watcher/Empty_Body</x:v>
      </x:c>
      <x:c r="L18" s="27" t="str">
        <x:v>https://www.slaythespire.gg/cards/watcher/Empty_Fist</x:v>
      </x:c>
      <x:c r="M18" s="27" t="str">
        <x:v>https://www.slaythespire.gg/cards/watcher/Evaluate</x:v>
      </x:c>
      <x:c r="N18" s="27" t="str">
        <x:v>https://www.slaythespire.gg/cards/watcher/Flurry_of_Blows</x:v>
      </x:c>
      <x:c r="O18" s="27" t="str">
        <x:v>https://www.slaythespire.gg/cards/watcher/Flying_Sleeves</x:v>
      </x:c>
      <x:c r="P18" s="27" t="str">
        <x:v>https://www.slaythespire.gg/cards/watcher/Follow_Up</x:v>
      </x:c>
      <x:c r="Q18" s="27" t="str">
        <x:v>https://www.slaythespire.gg/cards/watcher/Halt</x:v>
      </x:c>
      <x:c r="R18" s="27" t="str">
        <x:v>https://www.slaythespire.gg/cards/watcher/Just_Lucky</x:v>
      </x:c>
      <x:c r="S18" s="27" t="str">
        <x:v>https://www.slaythespire.gg/cards/watcher/Pressure_Points</x:v>
      </x:c>
      <x:c r="T18" s="27" t="str">
        <x:v>https://www.slaythespire.gg/cards/watcher/Prostrate</x:v>
      </x:c>
      <x:c r="U18" s="27" t="str">
        <x:v>https://www.slaythespire.gg/cards/watcher/Protect</x:v>
      </x:c>
      <x:c r="V18" s="27" t="str">
        <x:v>https://www.slaythespire.gg/cards/watcher/Sash_Whip</x:v>
      </x:c>
      <x:c r="W18" s="27" t="str">
        <x:v>https://www.slaythespire.gg/cards/watcher/Third_Eye</x:v>
      </x:c>
      <x:c r="X18" s="27" t="str">
        <x:v>https://www.slaythespire.gg/cards/watcher/Tranquility</x:v>
      </x:c>
      <x:c r="Y18" s="27" t="str">
        <x:v>https://www.slaythespire.gg/cards/watcher/Battle_Hymn</x:v>
      </x:c>
      <x:c r="Z18" s="27" t="str">
        <x:v>https://www.slaythespire.gg/cards/watcher/Carve_Reality</x:v>
      </x:c>
      <x:c r="AA18" s="27" t="str">
        <x:v>https://www.slaythespire.gg/cards/watcher/Collect</x:v>
      </x:c>
      <x:c r="AB18" s="27" t="str">
        <x:v>https://www.slaythespire.gg/cards/watcher/Conclude</x:v>
      </x:c>
      <x:c r="AC18" s="27" t="str">
        <x:v>https://www.slaythespire.gg/cards/watcher/Deceive_Reality</x:v>
      </x:c>
      <x:c r="AD18" s="27" t="str">
        <x:v>https://www.slaythespire.gg/cards/watcher/Empty_Mind</x:v>
      </x:c>
      <x:c r="AE18" s="27" t="str">
        <x:v>https://www.slaythespire.gg/cards/watcher/Fasting</x:v>
      </x:c>
      <x:c r="AF18" s="27" t="str">
        <x:v>https://www.slaythespire.gg/cards/watcher/Fear_No_Evil</x:v>
      </x:c>
      <x:c r="AG18" s="27" t="str">
        <x:v>https://www.slaythespire.gg/cards/watcher/Foreign_Influence</x:v>
      </x:c>
      <x:c r="AH18" s="27" t="str">
        <x:v>https://www.slaythespire.gg/cards/watcher/Foresight</x:v>
      </x:c>
      <x:c r="AI18" s="27" t="str">
        <x:v>https://www.slaythespire.gg/cards/watcher/Indignation</x:v>
      </x:c>
      <x:c r="AJ18" s="27" t="str">
        <x:v>https://www.slaythespire.gg/cards/watcher/Inner_Peace</x:v>
      </x:c>
      <x:c r="AK18" s="27" t="str">
        <x:v>https://www.slaythespire.gg/cards/watcher/Like_Water</x:v>
      </x:c>
      <x:c r="AL18" s="27" t="str">
        <x:v>https://www.slaythespire.gg/cards/watcher/Meditate</x:v>
      </x:c>
      <x:c r="AM18" s="27" t="str">
        <x:v>https://www.slaythespire.gg/cards/watcher/Mental_Fortress</x:v>
      </x:c>
      <x:c r="AN18" s="27" t="str">
        <x:v>https://www.slaythespire.gg/cards/watcher/Nirvana</x:v>
      </x:c>
      <x:c r="AO18" s="27" t="str">
        <x:v>https://www.slaythespire.gg/cards/watcher/Perseverance</x:v>
      </x:c>
      <x:c r="AP18" s="27" t="str">
        <x:v>https://www.slaythespire.gg/cards/watcher/Pray</x:v>
      </x:c>
      <x:c r="AQ18" s="27" t="str">
        <x:v>https://www.slaythespire.gg/cards/watcher/Reach_Heaven</x:v>
      </x:c>
      <x:c r="AR18" s="27" t="str">
        <x:v>https://www.slaythespire.gg/cards/watcher/Rushdown</x:v>
      </x:c>
      <x:c r="AS18" s="27" t="str">
        <x:v>https://www.slaythespire.gg/cards/watcher/Sanctity</x:v>
      </x:c>
      <x:c r="AT18" s="27" t="str">
        <x:v>https://www.slaythespire.gg/cards/watcher/Sands_of_Time</x:v>
      </x:c>
      <x:c r="AU18" s="27" t="str">
        <x:v>https://www.slaythespire.gg/cards/watcher/Signature_Move</x:v>
      </x:c>
      <x:c r="AV18" s="27" t="str">
        <x:v>https://www.slaythespire.gg/cards/watcher/Simmering_Fury</x:v>
      </x:c>
      <x:c r="AW18" s="27" t="str">
        <x:v>https://www.slaythespire.gg/cards/watcher/Study</x:v>
      </x:c>
      <x:c r="AX18" s="27" t="str">
        <x:v>https://www.slaythespire.gg/cards/watcher/Swivel</x:v>
      </x:c>
      <x:c r="AY18" s="27" t="str">
        <x:v>https://www.slaythespire.gg/cards/watcher/Talk_to_the_Hand</x:v>
      </x:c>
      <x:c r="AZ18" s="27" t="str">
        <x:v>https://www.slaythespire.gg/cards/watcher/Tantrum</x:v>
      </x:c>
      <x:c r="BA18" s="27" t="str">
        <x:v>https://www.slaythespire.gg/cards/watcher/Wallop</x:v>
      </x:c>
      <x:c r="BB18" s="27" t="str">
        <x:v>https://www.slaythespire.gg/cards/watcher/Wave_of_the_Hand</x:v>
      </x:c>
      <x:c r="BC18" s="27" t="str">
        <x:v>https://www.slaythespire.gg/cards/watcher/Weave</x:v>
      </x:c>
      <x:c r="BD18" s="27" t="str">
        <x:v>https://www.slaythespire.gg/cards/watcher/Wheel_Kick</x:v>
      </x:c>
      <x:c r="BE18" s="27" t="str">
        <x:v>https://www.slaythespire.gg/cards/watcher/Windmill_Strike</x:v>
      </x:c>
      <x:c r="BF18" s="27" t="str">
        <x:v>https://www.slaythespire.gg/cards/watcher/Worship</x:v>
      </x:c>
      <x:c r="BG18" s="27" t="str">
        <x:v>https://www.slaythespire.gg/cards/watcher/Wreath_of_Flame</x:v>
      </x:c>
      <x:c r="BH18" s="27" t="str">
        <x:v>https://www.slaythespire.gg/cards/watcher/Alpha</x:v>
      </x:c>
      <x:c r="BI18" s="27" t="str">
        <x:v>https://www.slaythespire.gg/cards/watcher/Blasphemy</x:v>
      </x:c>
      <x:c r="BJ18" s="27" t="str">
        <x:v>https://www.slaythespire.gg/cards/watcher/Brilliance</x:v>
      </x:c>
      <x:c r="BK18" s="27" t="str">
        <x:v>https://www.slaythespire.gg/cards/watcher/Conjure_Blade</x:v>
      </x:c>
      <x:c r="BL18" s="27" t="str">
        <x:v>https://www.slaythespire.gg/cards/watcher/Deus_Ex_Machina</x:v>
      </x:c>
      <x:c r="BM18" s="27" t="str">
        <x:v>https://www.slaythespire.gg/cards/watcher/Deva_Form</x:v>
      </x:c>
      <x:c r="BN18" s="27" t="str">
        <x:v>https://www.slaythespire.gg/cards/watcher/Devotion</x:v>
      </x:c>
      <x:c r="BO18" s="27" t="str">
        <x:v>https://www.slaythespire.gg/cards/watcher/Establishment</x:v>
      </x:c>
      <x:c r="BP18" s="27" t="str">
        <x:v>https://www.slaythespire.gg/cards/watcher/Judgment</x:v>
      </x:c>
      <x:c r="BQ18" s="27" t="str">
        <x:v>https://www.slaythespire.gg/cards/watcher/Lesson_Learned</x:v>
      </x:c>
      <x:c r="BR18" s="27" t="str">
        <x:v>https://www.slaythespire.gg/cards/watcher/Master_Reality</x:v>
      </x:c>
      <x:c r="BS18" s="27" t="str">
        <x:v>https://www.slaythespire.gg/cards/watcher/Omniscience</x:v>
      </x:c>
      <x:c r="BT18" s="27" t="str">
        <x:v>https://www.slaythespire.gg/cards/watcher/Ragnarok</x:v>
      </x:c>
      <x:c r="BU18" s="27" t="str">
        <x:v>https://www.slaythespire.gg/cards/watcher/Scrawl</x:v>
      </x:c>
      <x:c r="BV18" s="27" t="str">
        <x:v>https://www.slaythespire.gg/cards/watcher/Spirit_Shield</x:v>
      </x:c>
      <x:c r="BW18" s="27" t="str">
        <x:v>https://www.slaythespire.gg/cards/watcher/Vault</x:v>
      </x:c>
      <x:c r="BX18" s="27" t="str">
        <x:v>https://www.slaythespire.gg/cards/watcher/Wish</x:v>
      </x:c>
    </x:row>
    <x:row r="20" ht="25" customHeight="1">
      <x:c r="A20" s="29" t="str">
        <x:v>数据核对：2026-10-03。效果按游戏语义重新表述；能力生效时序已展开。分析字段是设计参考，不是官方分组或强度排名。</x:v>
      </x:c>
    </x:row>
    <x:row r="21" ht="25" customHeight="1">
      <x:c r="A21" s="29" t="str">
        <x:v>中文卡名与稀有度：18183 75张观者卡牌图鉴；生成牌中文名、化智为空时序：灰机中文维基；数值与升级：英文单卡页／日文表。</x:v>
      </x:c>
    </x:row>
    <x:row r="22" ht="24" customHeight="1">
      <x:c r="A22" s="3" t="str">
        <x:v>中文卡名目录</x:v>
      </x:c>
      <x:c r="B22" s="31" t="str">
        <x:v>https://www.18183.com/gonglue/202207/4064601.html</x:v>
      </x:c>
    </x:row>
    <x:row r="23" ht="24" customHeight="1">
      <x:c r="A23" s="3" t="str">
        <x:v>中文规则交叉核对</x:v>
      </x:c>
      <x:c r="B23" s="31" t="str">
        <x:v>https://sts.huijiwiki.com/wiki/紫色牌</x:v>
      </x:c>
    </x:row>
    <x:row r="24" ht="24" customHeight="1">
      <x:c r="A24" s="3" t="str">
        <x:v>升级数值交叉核对</x:v>
      </x:c>
      <x:c r="B24" s="31" t="str">
        <x:v>https://wikiwiki.jp/slaythespire/ウォッチャーのカード一覧</x:v>
      </x:c>
    </x:row>
    <x:row r="25" ht="24" customHeight="1">
      <x:c r="A25" s="3" t="str">
        <x:v>英文卡池目录</x:v>
      </x:c>
      <x:c r="B25" s="31" t="str">
        <x:v>https://www.slaythespire.gg/cards/watcher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1" customHeight="1">
      <x:c r="A1" s="5" t="str">
        <x:v>观者 · 按构筑包逐组看牌</x:v>
      </x:c>
      <x:c r="B1" s="3"/>
      <x:c r="C1" s="3"/>
      <x:c r="D1" s="3"/>
      <x:c r="E1" s="3"/>
      <x:c r="F1" s="3"/>
      <x:c r="G1" s="3"/>
    </x:row>
    <x:row r="2" ht="25" customHeight="1">
      <x:c r="A2" s="7" t="str">
        <x:v>每组六张以内，纵向浏览；核心在前、补件在后。重复出现代表可混搭，卡牌事实引用“75张卡牌”。</x:v>
      </x:c>
      <x:c r="B2" s="3"/>
      <x:c r="C2" s="3"/>
      <x:c r="D2" s="3"/>
      <x:c r="E2" s="3"/>
      <x:c r="F2" s="3"/>
      <x:c r="G2" s="3"/>
    </x:row>
    <x:row r="3" ht="24" customHeight="1">
      <x:c r="A3" s="8"/>
      <x:c r="B3" s="8"/>
      <x:c r="C3" s="8"/>
      <x:c r="D3" s="8"/>
      <x:c r="E3" s="8"/>
      <x:c r="F3" s="8"/>
      <x:c r="G3" s="8"/>
    </x:row>
    <x:row r="4" ht="25" customHeight="1">
      <x:c r="A4" s="7" t="str">
        <x:v>可用 Excel 查找包编号（如 09）或卡名；各包的起始位置见“构筑包总览”第15行。</x:v>
      </x:c>
      <x:c r="B4" s="3"/>
      <x:c r="C4" s="3"/>
      <x:c r="D4" s="3"/>
      <x:c r="E4" s="3"/>
      <x:c r="F4" s="3"/>
      <x:c r="G4" s="3"/>
    </x:row>
    <x:row r="6" ht="28" customHeight="1">
      <x:c r="A6" s="34" t="str">
        <x:v>01  姿态循环  ·  1—6 / 15</x:v>
      </x:c>
      <x:c r="B6" s="32"/>
      <x:c r="C6" s="32"/>
      <x:c r="D6" s="32"/>
      <x:c r="E6" s="32"/>
      <x:c r="F6" s="32"/>
      <x:c r="G6" s="32"/>
    </x:row>
    <x:row r="7" ht="30" customHeight="1">
      <x:c r="A7" s="16" t="str">
        <x:v>卡牌名</x:v>
      </x:c>
      <x:c r="B7" s="16" t="str">
        <x:f>'75张卡牌'!AR5</x:f>
        <x:v>猛虎下山</x:v>
      </x:c>
      <x:c r="C7" s="16" t="str">
        <x:f>'75张卡牌'!C5</x:f>
        <x:v>暴怒</x:v>
      </x:c>
      <x:c r="D7" s="16" t="str">
        <x:f>'75张卡牌'!AZ5</x:f>
        <x:v>发泄</x:v>
      </x:c>
      <x:c r="E7" s="16" t="str">
        <x:f>'75张卡牌'!AJ5</x:f>
        <x:v>内心宁静</x:v>
      </x:c>
      <x:c r="F7" s="16" t="str">
        <x:f>'75张卡牌'!AF5</x:f>
        <x:v>不惧妖邪</x:v>
      </x:c>
      <x:c r="G7" s="17" t="str">
        <x:f>'75张卡牌'!AD5</x:f>
        <x:v>化智为空</x:v>
      </x:c>
    </x:row>
    <x:row r="8" ht="28" customHeight="1">
      <x:c r="A8" s="10" t="str">
        <x:v>包内职责 · 分析</x:v>
      </x:c>
      <x:c r="B8" s="35" t="str">
        <x:v>核心组件</x:v>
      </x:c>
      <x:c r="C8" s="35" t="str">
        <x:v>核心组件</x:v>
      </x:c>
      <x:c r="D8" s="35" t="str">
        <x:v>核心组件</x:v>
      </x:c>
      <x:c r="E8" s="35" t="str">
        <x:v>核心组件</x:v>
      </x:c>
      <x:c r="F8" s="35" t="str">
        <x:v>核心组件</x:v>
      </x:c>
      <x:c r="G8" s="35" t="str">
        <x:v>核心组件</x:v>
      </x:c>
    </x:row>
    <x:row r="9" ht="28" customHeight="1">
      <x:c r="A9" s="10" t="str">
        <x:v>英文名</x:v>
      </x:c>
      <x:c r="B9" s="3" t="str">
        <x:f>'75张卡牌'!AR6</x:f>
        <x:v>Rushdown</x:v>
      </x:c>
      <x:c r="C9" s="3" t="str">
        <x:f>'75张卡牌'!C6</x:f>
        <x:v>Eruption</x:v>
      </x:c>
      <x:c r="D9" s="3" t="str">
        <x:f>'75张卡牌'!AZ6</x:f>
        <x:v>Tantrum</x:v>
      </x:c>
      <x:c r="E9" s="3" t="str">
        <x:f>'75张卡牌'!AJ6</x:f>
        <x:v>Inner Peace</x:v>
      </x:c>
      <x:c r="F9" s="3" t="str">
        <x:f>'75张卡牌'!AF6</x:f>
        <x:v>Fear No Evil</x:v>
      </x:c>
      <x:c r="G9" s="3" t="str">
        <x:f>'75张卡牌'!AD6</x:f>
        <x:v>Empty Mind</x:v>
      </x:c>
    </x:row>
    <x:row r="10" ht="28" customHeight="1">
      <x:c r="A10" s="10" t="str">
        <x:v>类型／稀有度</x:v>
      </x:c>
      <x:c r="B10" s="11" t="str">
        <x:v>能力 / 罕见</x:v>
      </x:c>
      <x:c r="C10" s="11" t="str">
        <x:v>攻击 / 初始</x:v>
      </x:c>
      <x:c r="D10" s="11" t="str">
        <x:v>攻击 / 罕见</x:v>
      </x:c>
      <x:c r="E10" s="11" t="str">
        <x:v>技能 / 罕见</x:v>
      </x:c>
      <x:c r="F10" s="11" t="str">
        <x:v>攻击 / 罕见</x:v>
      </x:c>
      <x:c r="G10" s="11" t="str">
        <x:v>技能 / 罕见</x:v>
      </x:c>
    </x:row>
    <x:row r="11" ht="28" customHeight="1">
      <x:c r="A11" s="10" t="str">
        <x:v>费用 · 基础</x:v>
      </x:c>
      <x:c r="B11" s="20" t="n">
        <x:f>'75张卡牌'!AR9</x:f>
        <x:v>1</x:v>
      </x:c>
      <x:c r="C11" s="20" t="n">
        <x:f>'75张卡牌'!C9</x:f>
        <x:v>2</x:v>
      </x:c>
      <x:c r="D11" s="20" t="n">
        <x:f>'75张卡牌'!AZ9</x:f>
        <x:v>1</x:v>
      </x:c>
      <x:c r="E11" s="20" t="n">
        <x:f>'75张卡牌'!AJ9</x:f>
        <x:v>1</x:v>
      </x:c>
      <x:c r="F11" s="20" t="n">
        <x:f>'75张卡牌'!AF9</x:f>
        <x:v>1</x:v>
      </x:c>
      <x:c r="G11" s="20" t="n">
        <x:f>'75张卡牌'!AD9</x:f>
        <x:v>1</x:v>
      </x:c>
    </x:row>
    <x:row r="12" ht="28" customHeight="1">
      <x:c r="A12" s="10" t="str">
        <x:v>费用 · 升级</x:v>
      </x:c>
      <x:c r="B12" s="21" t="n">
        <x:f>'75张卡牌'!AR10</x:f>
        <x:v>0</x:v>
      </x:c>
      <x:c r="C12" s="21" t="n">
        <x:f>'75张卡牌'!C10</x:f>
        <x:v>1</x:v>
      </x:c>
      <x:c r="D12" s="21" t="n">
        <x:f>'75张卡牌'!AZ10</x:f>
        <x:v>1</x:v>
      </x:c>
      <x:c r="E12" s="21" t="n">
        <x:f>'75张卡牌'!AJ10</x:f>
        <x:v>1</x:v>
      </x:c>
      <x:c r="F12" s="21" t="n">
        <x:f>'75张卡牌'!AF10</x:f>
        <x:v>1</x:v>
      </x:c>
      <x:c r="G12" s="21" t="n">
        <x:f>'75张卡牌'!AD10</x:f>
        <x:v>1</x:v>
      </x:c>
    </x:row>
    <x:row r="13" ht="44" customHeight="1">
      <x:c r="A13" s="10" t="str">
        <x:v>基础效果</x:v>
      </x:c>
      <x:c r="B13" s="3" t="str">
        <x:f>'75张卡牌'!AR11</x:f>
        <x:v>每次进入愤怒，抽2张牌。</x:v>
      </x:c>
      <x:c r="C13" s="3" t="str">
        <x:f>'75张卡牌'!C11</x:f>
        <x:v>对单个敌人造成9点伤害；进入愤怒。</x:v>
      </x:c>
      <x:c r="D13" s="3" t="str">
        <x:f>'75张卡牌'!AZ11</x:f>
        <x:v>对单个敌人造成3点伤害，重复3次；进入愤怒；将此牌洗入抽牌堆。</x:v>
      </x:c>
      <x:c r="E13" s="3" t="str">
        <x:f>'75张卡牌'!AJ11</x:f>
        <x:v>若已处于平静，抽3张牌；否则进入平静。</x:v>
      </x:c>
      <x:c r="F13" s="3" t="str">
        <x:f>'75张卡牌'!AF11</x:f>
        <x:v>对单个敌人造成8点伤害；若其意图包含攻击，进入平静。</x:v>
      </x:c>
      <x:c r="G13" s="3" t="str">
        <x:f>'75张卡牌'!AD11</x:f>
        <x:v>抽2张牌；退出当前姿态。</x:v>
      </x:c>
    </x:row>
    <x:row r="14" ht="44" customHeight="1">
      <x:c r="A14" s="10" t="str">
        <x:v>升级后完整效果</x:v>
      </x:c>
      <x:c r="B14" s="11" t="str">
        <x:f>'75张卡牌'!AR12</x:f>
        <x:v>每次进入愤怒，抽2张牌。</x:v>
      </x:c>
      <x:c r="C14" s="11" t="str">
        <x:f>'75张卡牌'!C12</x:f>
        <x:v>对单个敌人造成9点伤害；进入愤怒。</x:v>
      </x:c>
      <x:c r="D14" s="11" t="str">
        <x:f>'75张卡牌'!AZ12</x:f>
        <x:v>对单个敌人造成3点伤害，重复4次；进入愤怒；将此牌洗入抽牌堆。</x:v>
      </x:c>
      <x:c r="E14" s="11" t="str">
        <x:f>'75张卡牌'!AJ12</x:f>
        <x:v>若已处于平静，抽4张牌；否则进入平静。</x:v>
      </x:c>
      <x:c r="F14" s="11" t="str">
        <x:f>'75张卡牌'!AF12</x:f>
        <x:v>对单个敌人造成11点伤害；若其意图包含攻击，进入平静。</x:v>
      </x:c>
      <x:c r="G14" s="11" t="str">
        <x:f>'75张卡牌'!AD12</x:f>
        <x:v>抽3张牌；退出当前姿态。</x:v>
      </x:c>
    </x:row>
    <x:row r="15" ht="28" customHeight="1">
      <x:c r="A15" s="22" t="str">
        <x:v>升级改动</x:v>
      </x:c>
      <x:c r="B15" s="23" t="str">
        <x:f>'75张卡牌'!AR13</x:f>
        <x:v>费用1→0</x:v>
      </x:c>
      <x:c r="C15" s="23" t="str">
        <x:f>'75张卡牌'!C13</x:f>
        <x:v>费用2→1</x:v>
      </x:c>
      <x:c r="D15" s="23" t="str">
        <x:f>'75张卡牌'!AZ13</x:f>
        <x:v>次数3→4</x:v>
      </x:c>
      <x:c r="E15" s="23" t="str">
        <x:f>'75张卡牌'!AJ13</x:f>
        <x:v>抽牌3→4</x:v>
      </x:c>
      <x:c r="F15" s="23" t="str">
        <x:f>'75张卡牌'!AF13</x:f>
        <x:v>伤害8→11</x:v>
      </x:c>
      <x:c r="G15" s="23" t="str">
        <x:f>'75张卡牌'!AD13</x:f>
        <x:v>抽牌2→3</x:v>
      </x:c>
    </x:row>
    <x:row r="16" ht="28" customHeight="1">
      <x:c r="A16" s="10" t="str">
        <x:v>关键词 · 基础</x:v>
      </x:c>
      <x:c r="B16" s="11" t="str">
        <x:f>'75张卡牌'!AR14</x:f>
        <x:v>愤怒</x:v>
      </x:c>
      <x:c r="C16" s="11" t="str">
        <x:f>'75张卡牌'!C14</x:f>
        <x:v>愤怒</x:v>
      </x:c>
      <x:c r="D16" s="11" t="str">
        <x:f>'75张卡牌'!AZ14</x:f>
        <x:v>愤怒</x:v>
      </x:c>
      <x:c r="E16" s="11" t="str">
        <x:f>'75张卡牌'!AJ14</x:f>
        <x:v>平静</x:v>
      </x:c>
      <x:c r="F16" s="11" t="str">
        <x:f>'75张卡牌'!AF14</x:f>
        <x:v>平静</x:v>
      </x:c>
      <x:c r="G16" s="11" t="str">
        <x:f>'75张卡牌'!AD14</x:f>
        <x:v>—</x:v>
      </x:c>
    </x:row>
    <x:row r="17" ht="28" customHeight="1">
      <x:c r="A17" s="10" t="str">
        <x:v>设计职责 · 分析</x:v>
      </x:c>
      <x:c r="B17" s="3" t="str">
        <x:f>'75张卡牌'!AR15</x:f>
        <x:v>姿态抽牌引擎</x:v>
      </x:c>
      <x:c r="C17" s="3" t="str">
        <x:f>'75张卡牌'!C15</x:f>
        <x:v>姿态入口</x:v>
      </x:c>
      <x:c r="D17" s="3" t="str">
        <x:f>'75张卡牌'!AZ15</x:f>
        <x:v>多段输出／姿态入口</x:v>
      </x:c>
      <x:c r="E17" s="3" t="str">
        <x:f>'75张卡牌'!AJ15</x:f>
        <x:v>姿态入口／状态内抽牌</x:v>
      </x:c>
      <x:c r="F17" s="3" t="str">
        <x:f>'75张卡牌'!AF15</x:f>
        <x:v>条件姿态入口／输出</x:v>
      </x:c>
      <x:c r="G17" s="3" t="str">
        <x:f>'75张卡牌'!AD15</x:f>
        <x:v>抽牌／姿态出口</x:v>
      </x:c>
    </x:row>
    <x:row r="18" ht="44" customHeight="1">
      <x:c r="A18" s="10" t="str">
        <x:v>时序／使用边界</x:v>
      </x:c>
      <x:c r="B18" s="11" t="str">
        <x:f>'75张卡牌'!AR17</x:f>
        <x:v>已在愤怒时再次尝试进入愤怒，不触发入场抽牌。</x:v>
      </x:c>
      <x:c r="C18" s="11" t="str">
        <x:f>'75张卡牌'!C17</x:f>
        <x:v>先攻击再切姿态；本次攻击不自动享受新进入的愤怒倍率。</x:v>
      </x:c>
      <x:c r="D18" s="11" t="str">
        <x:f>'75张卡牌'!AZ17</x:f>
        <x:v>先攻击后进愤怒；返回抽牌堆，不是回手或弃牌。</x:v>
      </x:c>
      <x:c r="E18" s="11" t="str">
        <x:f>'75张卡牌'!AJ17</x:f>
        <x:v>入平静与抽牌为互斥分支；不能将入平静视为抽牌。</x:v>
      </x:c>
      <x:c r="F18" s="11" t="str">
        <x:f>'75张卡牌'!AF17</x:f>
        <x:v>敌人没有攻击意图时不能靠它退出愤怒。</x:v>
      </x:c>
      <x:c r="G18" s="11" t="str">
        <x:f>'75张卡牌'!AD17</x:f>
        <x:v>实际先抽牌再退出；英文聚合页顺序简写与此不同。</x:v>
      </x:c>
    </x:row>
    <x:row r="21" ht="28" customHeight="1">
      <x:c r="A21" s="34" t="str">
        <x:v>01  姿态循环  ·  7—12 / 15</x:v>
      </x:c>
      <x:c r="B21" s="32"/>
      <x:c r="C21" s="32"/>
      <x:c r="D21" s="32"/>
      <x:c r="E21" s="32"/>
      <x:c r="F21" s="32"/>
      <x:c r="G21" s="32"/>
    </x:row>
    <x:row r="22" ht="30" customHeight="1">
      <x:c r="A22" s="16" t="str">
        <x:v>卡牌名</x:v>
      </x:c>
      <x:c r="B22" s="16" t="str">
        <x:f>'75张卡牌'!AM5</x:f>
        <x:v>心灵堡垒</x:v>
      </x:c>
      <x:c r="C22" s="16" t="str">
        <x:f>'75张卡牌'!N5</x:f>
        <x:v>疾风连击</x:v>
      </x:c>
      <x:c r="D22" s="16" t="str">
        <x:f>'75张卡牌'!E5</x:f>
        <x:v>警惕</x:v>
      </x:c>
      <x:c r="E22" s="16" t="str">
        <x:f>'75张卡牌'!L5</x:f>
        <x:v>化拳为空</x:v>
      </x:c>
      <x:c r="F22" s="16" t="str">
        <x:f>'75张卡牌'!K5</x:f>
        <x:v>化体为空</x:v>
      </x:c>
      <x:c r="G22" s="17" t="str">
        <x:f>'75张卡牌'!X5</x:f>
        <x:v>安宁</x:v>
      </x:c>
    </x:row>
    <x:row r="23" ht="28" customHeight="1">
      <x:c r="A23" s="10" t="str">
        <x:v>包内职责 · 分析</x:v>
      </x:c>
      <x:c r="B23" s="35" t="str">
        <x:v>核心组件</x:v>
      </x:c>
      <x:c r="C23" s="35" t="str">
        <x:v>核心组件</x:v>
      </x:c>
      <x:c r="D23" s="35" t="str">
        <x:v>可选补件</x:v>
      </x:c>
      <x:c r="E23" s="35" t="str">
        <x:v>可选补件</x:v>
      </x:c>
      <x:c r="F23" s="35" t="str">
        <x:v>可选补件</x:v>
      </x:c>
      <x:c r="G23" s="35" t="str">
        <x:v>可选补件</x:v>
      </x:c>
    </x:row>
    <x:row r="24" ht="28" customHeight="1">
      <x:c r="A24" s="10" t="str">
        <x:v>英文名</x:v>
      </x:c>
      <x:c r="B24" s="3" t="str">
        <x:f>'75张卡牌'!AM6</x:f>
        <x:v>Mental Fortress</x:v>
      </x:c>
      <x:c r="C24" s="3" t="str">
        <x:f>'75张卡牌'!N6</x:f>
        <x:v>Flurry of Blows</x:v>
      </x:c>
      <x:c r="D24" s="3" t="str">
        <x:f>'75张卡牌'!E6</x:f>
        <x:v>Vigilance</x:v>
      </x:c>
      <x:c r="E24" s="3" t="str">
        <x:f>'75张卡牌'!L6</x:f>
        <x:v>Empty Fist</x:v>
      </x:c>
      <x:c r="F24" s="3" t="str">
        <x:f>'75张卡牌'!K6</x:f>
        <x:v>Empty Body</x:v>
      </x:c>
      <x:c r="G24" s="3" t="str">
        <x:f>'75张卡牌'!X6</x:f>
        <x:v>Tranquility</x:v>
      </x:c>
    </x:row>
    <x:row r="25" ht="28" customHeight="1">
      <x:c r="A25" s="10" t="str">
        <x:v>类型／稀有度</x:v>
      </x:c>
      <x:c r="B25" s="11" t="str">
        <x:v>能力 / 罕见</x:v>
      </x:c>
      <x:c r="C25" s="11" t="str">
        <x:v>攻击 / 普通</x:v>
      </x:c>
      <x:c r="D25" s="11" t="str">
        <x:v>技能 / 初始</x:v>
      </x:c>
      <x:c r="E25" s="11" t="str">
        <x:v>攻击 / 普通</x:v>
      </x:c>
      <x:c r="F25" s="11" t="str">
        <x:v>技能 / 普通</x:v>
      </x:c>
      <x:c r="G25" s="11" t="str">
        <x:v>技能 / 普通</x:v>
      </x:c>
    </x:row>
    <x:row r="26" ht="28" customHeight="1">
      <x:c r="A26" s="10" t="str">
        <x:v>费用 · 基础</x:v>
      </x:c>
      <x:c r="B26" s="20" t="n">
        <x:f>'75张卡牌'!AM9</x:f>
        <x:v>1</x:v>
      </x:c>
      <x:c r="C26" s="20" t="n">
        <x:f>'75张卡牌'!N9</x:f>
        <x:v>0</x:v>
      </x:c>
      <x:c r="D26" s="20" t="n">
        <x:f>'75张卡牌'!E9</x:f>
        <x:v>2</x:v>
      </x:c>
      <x:c r="E26" s="20" t="n">
        <x:f>'75张卡牌'!L9</x:f>
        <x:v>1</x:v>
      </x:c>
      <x:c r="F26" s="20" t="n">
        <x:f>'75张卡牌'!K9</x:f>
        <x:v>1</x:v>
      </x:c>
      <x:c r="G26" s="20" t="n">
        <x:f>'75张卡牌'!X9</x:f>
        <x:v>1</x:v>
      </x:c>
    </x:row>
    <x:row r="27" ht="28" customHeight="1">
      <x:c r="A27" s="10" t="str">
        <x:v>费用 · 升级</x:v>
      </x:c>
      <x:c r="B27" s="21" t="n">
        <x:f>'75张卡牌'!AM10</x:f>
        <x:v>1</x:v>
      </x:c>
      <x:c r="C27" s="21" t="n">
        <x:f>'75张卡牌'!N10</x:f>
        <x:v>0</x:v>
      </x:c>
      <x:c r="D27" s="21" t="n">
        <x:f>'75张卡牌'!E10</x:f>
        <x:v>2</x:v>
      </x:c>
      <x:c r="E27" s="21" t="n">
        <x:f>'75张卡牌'!L10</x:f>
        <x:v>1</x:v>
      </x:c>
      <x:c r="F27" s="21" t="n">
        <x:f>'75张卡牌'!K10</x:f>
        <x:v>1</x:v>
      </x:c>
      <x:c r="G27" s="21" t="n">
        <x:f>'75张卡牌'!X10</x:f>
        <x:v>0</x:v>
      </x:c>
    </x:row>
    <x:row r="28" ht="44" customHeight="1">
      <x:c r="A28" s="10" t="str">
        <x:v>基础效果</x:v>
      </x:c>
      <x:c r="B28" s="3" t="str">
        <x:f>'75张卡牌'!AM11</x:f>
        <x:v>每次切换姿态，获得4点格挡。</x:v>
      </x:c>
      <x:c r="C28" s="3" t="str">
        <x:f>'75张卡牌'!N11</x:f>
        <x:v>对单个敌人造成4点伤害；每次切换姿态时，此牌从弃牌堆回到手牌。</x:v>
      </x:c>
      <x:c r="D28" s="3" t="str">
        <x:f>'75张卡牌'!E11</x:f>
        <x:v>获得8点格挡；进入平静。</x:v>
      </x:c>
      <x:c r="E28" s="3" t="str">
        <x:f>'75张卡牌'!L11</x:f>
        <x:v>对单个敌人造成9点伤害；退出当前姿态。</x:v>
      </x:c>
      <x:c r="F28" s="3" t="str">
        <x:f>'75张卡牌'!K11</x:f>
        <x:v>获得7点格挡；退出当前姿态。</x:v>
      </x:c>
      <x:c r="G28" s="3" t="str">
        <x:f>'75张卡牌'!X11</x:f>
        <x:v>保留。进入平静。消耗。</x:v>
      </x:c>
    </x:row>
    <x:row r="29" ht="44" customHeight="1">
      <x:c r="A29" s="10" t="str">
        <x:v>升级后完整效果</x:v>
      </x:c>
      <x:c r="B29" s="11" t="str">
        <x:f>'75张卡牌'!AM12</x:f>
        <x:v>每次切换姿态，获得6点格挡。</x:v>
      </x:c>
      <x:c r="C29" s="11" t="str">
        <x:f>'75张卡牌'!N12</x:f>
        <x:v>对单个敌人造成6点伤害；每次切换姿态时，此牌从弃牌堆回到手牌。</x:v>
      </x:c>
      <x:c r="D29" s="11" t="str">
        <x:f>'75张卡牌'!E12</x:f>
        <x:v>获得12点格挡；进入平静。</x:v>
      </x:c>
      <x:c r="E29" s="11" t="str">
        <x:f>'75张卡牌'!L12</x:f>
        <x:v>对单个敌人造成14点伤害；退出当前姿态。</x:v>
      </x:c>
      <x:c r="F29" s="11" t="str">
        <x:f>'75张卡牌'!K12</x:f>
        <x:v>获得10点格挡；退出当前姿态。</x:v>
      </x:c>
      <x:c r="G29" s="11" t="str">
        <x:f>'75张卡牌'!X12</x:f>
        <x:v>保留。进入平静。消耗。</x:v>
      </x:c>
    </x:row>
    <x:row r="30" ht="28" customHeight="1">
      <x:c r="A30" s="22" t="str">
        <x:v>升级改动</x:v>
      </x:c>
      <x:c r="B30" s="23" t="str">
        <x:f>'75张卡牌'!AM13</x:f>
        <x:v>每次格挡4→6</x:v>
      </x:c>
      <x:c r="C30" s="23" t="str">
        <x:f>'75张卡牌'!N13</x:f>
        <x:v>伤害4→6</x:v>
      </x:c>
      <x:c r="D30" s="23" t="str">
        <x:f>'75张卡牌'!E13</x:f>
        <x:v>格挡8→12</x:v>
      </x:c>
      <x:c r="E30" s="23" t="str">
        <x:f>'75张卡牌'!L13</x:f>
        <x:v>伤害9→14</x:v>
      </x:c>
      <x:c r="F30" s="23" t="str">
        <x:f>'75张卡牌'!K13</x:f>
        <x:v>格挡7→10</x:v>
      </x:c>
      <x:c r="G30" s="23" t="str">
        <x:f>'75张卡牌'!X13</x:f>
        <x:v>费用1→0</x:v>
      </x:c>
    </x:row>
    <x:row r="31" ht="28" customHeight="1">
      <x:c r="A31" s="10" t="str">
        <x:v>关键词 · 基础</x:v>
      </x:c>
      <x:c r="B31" s="11" t="str">
        <x:f>'75张卡牌'!AM14</x:f>
        <x:v>—</x:v>
      </x:c>
      <x:c r="C31" s="11" t="str">
        <x:f>'75张卡牌'!N14</x:f>
        <x:v>—</x:v>
      </x:c>
      <x:c r="D31" s="11" t="str">
        <x:f>'75张卡牌'!E14</x:f>
        <x:v>平静</x:v>
      </x:c>
      <x:c r="E31" s="11" t="str">
        <x:f>'75张卡牌'!L14</x:f>
        <x:v>—</x:v>
      </x:c>
      <x:c r="F31" s="11" t="str">
        <x:f>'75张卡牌'!K14</x:f>
        <x:v>—</x:v>
      </x:c>
      <x:c r="G31" s="11" t="str">
        <x:f>'75张卡牌'!X14</x:f>
        <x:v>保留、消耗、平静</x:v>
      </x:c>
    </x:row>
    <x:row r="32" ht="28" customHeight="1">
      <x:c r="A32" s="10" t="str">
        <x:v>设计职责 · 分析</x:v>
      </x:c>
      <x:c r="B32" s="3" t="str">
        <x:f>'75张卡牌'!AM15</x:f>
        <x:v>姿态切换回报</x:v>
      </x:c>
      <x:c r="C32" s="3" t="str">
        <x:f>'75张卡牌'!N15</x:f>
        <x:v>循环输出</x:v>
      </x:c>
      <x:c r="D32" s="3" t="str">
        <x:f>'75张卡牌'!E15</x:f>
        <x:v>防御／姿态入口</x:v>
      </x:c>
      <x:c r="E32" s="3" t="str">
        <x:f>'75张卡牌'!L15</x:f>
        <x:v>输出／姿态出口</x:v>
      </x:c>
      <x:c r="F32" s="3" t="str">
        <x:f>'75张卡牌'!K15</x:f>
        <x:v>防御／姿态出口</x:v>
      </x:c>
      <x:c r="G32" s="3" t="str">
        <x:f>'75张卡牌'!X15</x:f>
        <x:v>可保留姿态入口</x:v>
      </x:c>
    </x:row>
    <x:row r="33" ht="44" customHeight="1">
      <x:c r="A33" s="10" t="str">
        <x:v>时序／使用边界</x:v>
      </x:c>
      <x:c r="B33" s="11" t="str">
        <x:f>'75张卡牌'!AM17</x:f>
        <x:v>重复进入当前姿态不算切换；可以与输出循环并行产防。</x:v>
      </x:c>
      <x:c r="C33" s="11" t="str">
        <x:f>'75张卡牌'!N17</x:f>
        <x:v>回收只作用于弃牌堆中的此牌；留意手牌上限。</x:v>
      </x:c>
      <x:c r="D33" s="11" t="str">
        <x:f>'75张卡牌'!E17</x:f>
        <x:v>进入平静不直接给能量，退出平静才给。</x:v>
      </x:c>
      <x:c r="E33" s="11" t="str">
        <x:f>'75张卡牌'!L17</x:f>
        <x:v>先结算攻击，因而可享受退出前的愤怒或神格。</x:v>
      </x:c>
      <x:c r="F33" s="11" t="str">
        <x:f>'75张卡牌'!K17</x:f>
        <x:v>无姿态时不会凭空产生一次姿态切换。</x:v>
      </x:c>
      <x:c r="G33" s="11" t="str">
        <x:f>'75张卡牌'!X17</x:f>
        <x:v>可作为愤怒出口，但消耗后不能持续参与循环。</x:v>
      </x:c>
    </x:row>
    <x:row r="36" ht="28" customHeight="1">
      <x:c r="A36" s="34" t="str">
        <x:v>01  姿态循环  ·  13—15 / 15</x:v>
      </x:c>
      <x:c r="B36" s="32"/>
      <x:c r="C36" s="32"/>
      <x:c r="D36" s="32"/>
      <x:c r="E36" s="32"/>
      <x:c r="F36" s="32"/>
      <x:c r="G36" s="32"/>
    </x:row>
    <x:row r="37" ht="30" customHeight="1">
      <x:c r="A37" s="16" t="str">
        <x:v>卡牌名</x:v>
      </x:c>
      <x:c r="B37" s="16" t="str">
        <x:f>'75张卡牌'!AL5</x:f>
        <x:v>冥想</x:v>
      </x:c>
      <x:c r="C37" s="16" t="str">
        <x:f>'75张卡牌'!BU5</x:f>
        <x:v>潦草急就</x:v>
      </x:c>
      <x:c r="D37" s="17" t="str">
        <x:f>'75张卡牌'!AY5</x:f>
        <x:v>以手拒之</x:v>
      </x:c>
    </x:row>
    <x:row r="38" ht="28" customHeight="1">
      <x:c r="A38" s="10" t="str">
        <x:v>包内职责 · 分析</x:v>
      </x:c>
      <x:c r="B38" s="35" t="str">
        <x:v>可选补件</x:v>
      </x:c>
      <x:c r="C38" s="35" t="str">
        <x:v>可选补件</x:v>
      </x:c>
      <x:c r="D38" s="35" t="str">
        <x:v>可选补件</x:v>
      </x:c>
    </x:row>
    <x:row r="39" ht="28" customHeight="1">
      <x:c r="A39" s="10" t="str">
        <x:v>英文名</x:v>
      </x:c>
      <x:c r="B39" s="3" t="str">
        <x:f>'75张卡牌'!AL6</x:f>
        <x:v>Meditate</x:v>
      </x:c>
      <x:c r="C39" s="3" t="str">
        <x:f>'75张卡牌'!BU6</x:f>
        <x:v>Scrawl</x:v>
      </x:c>
      <x:c r="D39" s="3" t="str">
        <x:f>'75张卡牌'!AY6</x:f>
        <x:v>Talk to the Hand</x:v>
      </x:c>
    </x:row>
    <x:row r="40" ht="28" customHeight="1">
      <x:c r="A40" s="10" t="str">
        <x:v>类型／稀有度</x:v>
      </x:c>
      <x:c r="B40" s="11" t="str">
        <x:v>技能 / 罕见</x:v>
      </x:c>
      <x:c r="C40" s="11" t="str">
        <x:v>技能 / 稀有</x:v>
      </x:c>
      <x:c r="D40" s="11" t="str">
        <x:v>攻击 / 罕见</x:v>
      </x:c>
    </x:row>
    <x:row r="41" ht="28" customHeight="1">
      <x:c r="A41" s="10" t="str">
        <x:v>费用 · 基础</x:v>
      </x:c>
      <x:c r="B41" s="20" t="n">
        <x:f>'75张卡牌'!AL9</x:f>
        <x:v>1</x:v>
      </x:c>
      <x:c r="C41" s="20" t="n">
        <x:f>'75张卡牌'!BU9</x:f>
        <x:v>1</x:v>
      </x:c>
      <x:c r="D41" s="20" t="n">
        <x:f>'75张卡牌'!AY9</x:f>
        <x:v>1</x:v>
      </x:c>
    </x:row>
    <x:row r="42" ht="28" customHeight="1">
      <x:c r="A42" s="10" t="str">
        <x:v>费用 · 升级</x:v>
      </x:c>
      <x:c r="B42" s="21" t="n">
        <x:f>'75张卡牌'!AL10</x:f>
        <x:v>1</x:v>
      </x:c>
      <x:c r="C42" s="21" t="n">
        <x:f>'75张卡牌'!BU10</x:f>
        <x:v>0</x:v>
      </x:c>
      <x:c r="D42" s="21" t="n">
        <x:f>'75张卡牌'!AY10</x:f>
        <x:v>1</x:v>
      </x:c>
    </x:row>
    <x:row r="43" ht="44" customHeight="1">
      <x:c r="A43" s="10" t="str">
        <x:v>基础效果</x:v>
      </x:c>
      <x:c r="B43" s="3" t="str">
        <x:f>'75张卡牌'!AL11</x:f>
        <x:v>从弃牌堆选1张牌放入手牌并保留；进入平静；结束回合。</x:v>
      </x:c>
      <x:c r="C43" s="3" t="str">
        <x:f>'75张卡牌'!BU11</x:f>
        <x:v>抽牌直到手牌达到上限。消耗。</x:v>
      </x:c>
      <x:c r="D43" s="3" t="str">
        <x:f>'75张卡牌'!AY11</x:f>
        <x:v>对单个敌人造成5点伤害；此后每次攻击该敌人，获得2点格挡。消耗。</x:v>
      </x:c>
    </x:row>
    <x:row r="44" ht="44" customHeight="1">
      <x:c r="A44" s="10" t="str">
        <x:v>升级后完整效果</x:v>
      </x:c>
      <x:c r="B44" s="11" t="str">
        <x:f>'75张卡牌'!AL12</x:f>
        <x:v>从弃牌堆选2张牌放入手牌并保留；进入平静；结束回合。</x:v>
      </x:c>
      <x:c r="C44" s="11" t="str">
        <x:f>'75张卡牌'!BU12</x:f>
        <x:v>抽牌直到手牌达到上限。消耗。</x:v>
      </x:c>
      <x:c r="D44" s="11" t="str">
        <x:f>'75张卡牌'!AY12</x:f>
        <x:v>对单个敌人造成7点伤害；此后每次攻击该敌人，获得3点格挡。消耗。</x:v>
      </x:c>
    </x:row>
    <x:row r="45" ht="28" customHeight="1">
      <x:c r="A45" s="22" t="str">
        <x:v>升级改动</x:v>
      </x:c>
      <x:c r="B45" s="23" t="str">
        <x:f>'75张卡牌'!AL13</x:f>
        <x:v>回收1→2张</x:v>
      </x:c>
      <x:c r="C45" s="23" t="str">
        <x:f>'75张卡牌'!BU13</x:f>
        <x:v>费用1→0</x:v>
      </x:c>
      <x:c r="D45" s="23" t="str">
        <x:f>'75张卡牌'!AY13</x:f>
        <x:v>伤害5→7；每次格挡2→3</x:v>
      </x:c>
    </x:row>
    <x:row r="46" ht="28" customHeight="1">
      <x:c r="A46" s="10" t="str">
        <x:v>关键词 · 基础</x:v>
      </x:c>
      <x:c r="B46" s="11" t="str">
        <x:f>'75张卡牌'!AL14</x:f>
        <x:v>保留、平静</x:v>
      </x:c>
      <x:c r="C46" s="11" t="str">
        <x:f>'75张卡牌'!BU14</x:f>
        <x:v>消耗</x:v>
      </x:c>
      <x:c r="D46" s="11" t="str">
        <x:f>'75张卡牌'!AY14</x:f>
        <x:v>消耗</x:v>
      </x:c>
    </x:row>
    <x:row r="47" ht="28" customHeight="1">
      <x:c r="A47" s="10" t="str">
        <x:v>设计职责 · 分析</x:v>
      </x:c>
      <x:c r="B47" s="3" t="str">
        <x:f>'75张卡牌'!AL15</x:f>
        <x:v>定向回收／保留／姿态入口</x:v>
      </x:c>
      <x:c r="C47" s="3" t="str">
        <x:f>'75张卡牌'!BU15</x:f>
        <x:v>爆发抽牌</x:v>
      </x:c>
      <x:c r="D47" s="3" t="str">
        <x:f>'75张卡牌'!AY15</x:f>
        <x:v>攻击事件回报</x:v>
      </x:c>
    </x:row>
    <x:row r="48" ht="44" customHeight="1">
      <x:c r="A48" s="10" t="str">
        <x:v>时序／使用边界</x:v>
      </x:c>
      <x:c r="B48" s="11" t="str">
        <x:f>'75张卡牌'!AL17</x:f>
        <x:v>赋予该次回合结束的保留，不是永久增加保留关键词。</x:v>
      </x:c>
      <x:c r="C48" s="11" t="str">
        <x:f>'75张卡牌'!BU17</x:f>
        <x:v>通常手牌上限为10；实际抽牌数取决于剩余手牌。</x:v>
      </x:c>
      <x:c r="D48" s="11" t="str">
        <x:f>'75张卡牌'!AY17</x:f>
        <x:v>敌方减益可被人工制品阻挡；多段攻击按每段触发。</x:v>
      </x:c>
    </x:row>
    <x:row r="51" ht="28" customHeight="1">
      <x:c r="A51" s="34" t="str">
        <x:v>02  愤怒爆发  ·  1—6 / 22</x:v>
      </x:c>
      <x:c r="B51" s="32"/>
      <x:c r="C51" s="32"/>
      <x:c r="D51" s="32"/>
      <x:c r="E51" s="32"/>
      <x:c r="F51" s="32"/>
      <x:c r="G51" s="32"/>
    </x:row>
    <x:row r="52" ht="30" customHeight="1">
      <x:c r="A52" s="16" t="str">
        <x:v>卡牌名</x:v>
      </x:c>
      <x:c r="B52" s="16" t="str">
        <x:f>'75张卡牌'!C5</x:f>
        <x:v>暴怒</x:v>
      </x:c>
      <x:c r="C52" s="16" t="str">
        <x:f>'75张卡牌'!AZ5</x:f>
        <x:v>发泄</x:v>
      </x:c>
      <x:c r="D52" s="16" t="str">
        <x:f>'75张卡牌'!H5</x:f>
        <x:v>渐强</x:v>
      </x:c>
      <x:c r="E52" s="16" t="str">
        <x:f>'75张卡牌'!AI5</x:f>
        <x:v>义愤填膺</x:v>
      </x:c>
      <x:c r="F52" s="16" t="str">
        <x:f>'75张卡牌'!AV5</x:f>
        <x:v>怒火中烧</x:v>
      </x:c>
      <x:c r="G52" s="17" t="str">
        <x:f>'75张卡牌'!BA5</x:f>
        <x:v>当头棒喝</x:v>
      </x:c>
    </x:row>
    <x:row r="53" ht="28" customHeight="1">
      <x:c r="A53" s="10" t="str">
        <x:v>包内职责 · 分析</x:v>
      </x:c>
      <x:c r="B53" s="35" t="str">
        <x:v>核心组件</x:v>
      </x:c>
      <x:c r="C53" s="35" t="str">
        <x:v>核心组件</x:v>
      </x:c>
      <x:c r="D53" s="35" t="str">
        <x:v>核心组件</x:v>
      </x:c>
      <x:c r="E53" s="35" t="str">
        <x:v>核心组件</x:v>
      </x:c>
      <x:c r="F53" s="35" t="str">
        <x:v>核心组件</x:v>
      </x:c>
      <x:c r="G53" s="35" t="str">
        <x:v>核心组件</x:v>
      </x:c>
    </x:row>
    <x:row r="54" ht="28" customHeight="1">
      <x:c r="A54" s="10" t="str">
        <x:v>英文名</x:v>
      </x:c>
      <x:c r="B54" s="3" t="str">
        <x:f>'75张卡牌'!C6</x:f>
        <x:v>Eruption</x:v>
      </x:c>
      <x:c r="C54" s="3" t="str">
        <x:f>'75张卡牌'!AZ6</x:f>
        <x:v>Tantrum</x:v>
      </x:c>
      <x:c r="D54" s="3" t="str">
        <x:f>'75张卡牌'!H6</x:f>
        <x:v>Crescendo</x:v>
      </x:c>
      <x:c r="E54" s="3" t="str">
        <x:f>'75张卡牌'!AI6</x:f>
        <x:v>Indignation</x:v>
      </x:c>
      <x:c r="F54" s="3" t="str">
        <x:f>'75张卡牌'!AV6</x:f>
        <x:v>Simmering Fury</x:v>
      </x:c>
      <x:c r="G54" s="3" t="str">
        <x:f>'75张卡牌'!BA6</x:f>
        <x:v>Wallop</x:v>
      </x:c>
    </x:row>
    <x:row r="55" ht="28" customHeight="1">
      <x:c r="A55" s="10" t="str">
        <x:v>类型／稀有度</x:v>
      </x:c>
      <x:c r="B55" s="11" t="str">
        <x:v>攻击 / 初始</x:v>
      </x:c>
      <x:c r="C55" s="11" t="str">
        <x:v>攻击 / 罕见</x:v>
      </x:c>
      <x:c r="D55" s="11" t="str">
        <x:v>技能 / 普通</x:v>
      </x:c>
      <x:c r="E55" s="11" t="str">
        <x:v>技能 / 罕见</x:v>
      </x:c>
      <x:c r="F55" s="11" t="str">
        <x:v>技能 / 罕见</x:v>
      </x:c>
      <x:c r="G55" s="11" t="str">
        <x:v>攻击 / 罕见</x:v>
      </x:c>
    </x:row>
    <x:row r="56" ht="28" customHeight="1">
      <x:c r="A56" s="10" t="str">
        <x:v>费用 · 基础</x:v>
      </x:c>
      <x:c r="B56" s="20" t="n">
        <x:f>'75张卡牌'!C9</x:f>
        <x:v>2</x:v>
      </x:c>
      <x:c r="C56" s="20" t="n">
        <x:f>'75张卡牌'!AZ9</x:f>
        <x:v>1</x:v>
      </x:c>
      <x:c r="D56" s="20" t="n">
        <x:f>'75张卡牌'!H9</x:f>
        <x:v>1</x:v>
      </x:c>
      <x:c r="E56" s="20" t="n">
        <x:f>'75张卡牌'!AI9</x:f>
        <x:v>1</x:v>
      </x:c>
      <x:c r="F56" s="20" t="n">
        <x:f>'75张卡牌'!AV9</x:f>
        <x:v>1</x:v>
      </x:c>
      <x:c r="G56" s="20" t="n">
        <x:f>'75张卡牌'!BA9</x:f>
        <x:v>2</x:v>
      </x:c>
    </x:row>
    <x:row r="57" ht="28" customHeight="1">
      <x:c r="A57" s="10" t="str">
        <x:v>费用 · 升级</x:v>
      </x:c>
      <x:c r="B57" s="21" t="n">
        <x:f>'75张卡牌'!C10</x:f>
        <x:v>1</x:v>
      </x:c>
      <x:c r="C57" s="21" t="n">
        <x:f>'75张卡牌'!AZ10</x:f>
        <x:v>1</x:v>
      </x:c>
      <x:c r="D57" s="21" t="n">
        <x:f>'75张卡牌'!H10</x:f>
        <x:v>0</x:v>
      </x:c>
      <x:c r="E57" s="21" t="n">
        <x:f>'75张卡牌'!AI10</x:f>
        <x:v>1</x:v>
      </x:c>
      <x:c r="F57" s="21" t="n">
        <x:f>'75张卡牌'!AV10</x:f>
        <x:v>1</x:v>
      </x:c>
      <x:c r="G57" s="21" t="n">
        <x:f>'75张卡牌'!BA10</x:f>
        <x:v>2</x:v>
      </x:c>
    </x:row>
    <x:row r="58" ht="44" customHeight="1">
      <x:c r="A58" s="10" t="str">
        <x:v>基础效果</x:v>
      </x:c>
      <x:c r="B58" s="3" t="str">
        <x:f>'75张卡牌'!C11</x:f>
        <x:v>对单个敌人造成9点伤害；进入愤怒。</x:v>
      </x:c>
      <x:c r="C58" s="3" t="str">
        <x:f>'75张卡牌'!AZ11</x:f>
        <x:v>对单个敌人造成3点伤害，重复3次；进入愤怒；将此牌洗入抽牌堆。</x:v>
      </x:c>
      <x:c r="D58" s="3" t="str">
        <x:f>'75张卡牌'!H11</x:f>
        <x:v>保留。进入愤怒。消耗。</x:v>
      </x:c>
      <x:c r="E58" s="3" t="str">
        <x:f>'75张卡牌'!AI11</x:f>
        <x:v>若已处于愤怒，对所有敌人施加3层易伤；否则进入愤怒。</x:v>
      </x:c>
      <x:c r="F58" s="3" t="str">
        <x:f>'75张卡牌'!AV11</x:f>
        <x:v>下回合开始时，进入愤怒并额外抽2张牌。</x:v>
      </x:c>
      <x:c r="G58" s="3" t="str">
        <x:f>'75张卡牌'!BA11</x:f>
        <x:v>对单个敌人造成9点伤害；获得等于未被格挡的伤害数值的格挡。</x:v>
      </x:c>
    </x:row>
    <x:row r="59" ht="44" customHeight="1">
      <x:c r="A59" s="10" t="str">
        <x:v>升级后完整效果</x:v>
      </x:c>
      <x:c r="B59" s="11" t="str">
        <x:f>'75张卡牌'!C12</x:f>
        <x:v>对单个敌人造成9点伤害；进入愤怒。</x:v>
      </x:c>
      <x:c r="C59" s="11" t="str">
        <x:f>'75张卡牌'!AZ12</x:f>
        <x:v>对单个敌人造成3点伤害，重复4次；进入愤怒；将此牌洗入抽牌堆。</x:v>
      </x:c>
      <x:c r="D59" s="11" t="str">
        <x:f>'75张卡牌'!H12</x:f>
        <x:v>保留。进入愤怒。消耗。</x:v>
      </x:c>
      <x:c r="E59" s="11" t="str">
        <x:f>'75张卡牌'!AI12</x:f>
        <x:v>若已处于愤怒，对所有敌人施加5层易伤；否则进入愤怒。</x:v>
      </x:c>
      <x:c r="F59" s="11" t="str">
        <x:f>'75张卡牌'!AV12</x:f>
        <x:v>下回合开始时，进入愤怒并额外抽3张牌。</x:v>
      </x:c>
      <x:c r="G59" s="11" t="str">
        <x:f>'75张卡牌'!BA12</x:f>
        <x:v>对单个敌人造成12点伤害；获得等于未被格挡的伤害数值的格挡。</x:v>
      </x:c>
    </x:row>
    <x:row r="60" ht="28" customHeight="1">
      <x:c r="A60" s="22" t="str">
        <x:v>升级改动</x:v>
      </x:c>
      <x:c r="B60" s="23" t="str">
        <x:f>'75张卡牌'!C13</x:f>
        <x:v>费用2→1</x:v>
      </x:c>
      <x:c r="C60" s="23" t="str">
        <x:f>'75张卡牌'!AZ13</x:f>
        <x:v>次数3→4</x:v>
      </x:c>
      <x:c r="D60" s="23" t="str">
        <x:f>'75张卡牌'!H13</x:f>
        <x:v>费用1→0</x:v>
      </x:c>
      <x:c r="E60" s="23" t="str">
        <x:f>'75张卡牌'!AI13</x:f>
        <x:v>易伤3→5</x:v>
      </x:c>
      <x:c r="F60" s="23" t="str">
        <x:f>'75张卡牌'!AV13</x:f>
        <x:v>额外抽牌2→3</x:v>
      </x:c>
      <x:c r="G60" s="23" t="str">
        <x:f>'75张卡牌'!BA13</x:f>
        <x:v>伤害9→12</x:v>
      </x:c>
    </x:row>
    <x:row r="61" ht="28" customHeight="1">
      <x:c r="A61" s="10" t="str">
        <x:v>关键词 · 基础</x:v>
      </x:c>
      <x:c r="B61" s="11" t="str">
        <x:f>'75张卡牌'!C14</x:f>
        <x:v>愤怒</x:v>
      </x:c>
      <x:c r="C61" s="11" t="str">
        <x:f>'75张卡牌'!AZ14</x:f>
        <x:v>愤怒</x:v>
      </x:c>
      <x:c r="D61" s="11" t="str">
        <x:f>'75张卡牌'!H14</x:f>
        <x:v>保留、消耗、愤怒</x:v>
      </x:c>
      <x:c r="E61" s="11" t="str">
        <x:f>'75张卡牌'!AI14</x:f>
        <x:v>愤怒、易伤</x:v>
      </x:c>
      <x:c r="F61" s="11" t="str">
        <x:f>'75张卡牌'!AV14</x:f>
        <x:v>愤怒</x:v>
      </x:c>
      <x:c r="G61" s="11" t="str">
        <x:f>'75张卡牌'!BA14</x:f>
        <x:v>—</x:v>
      </x:c>
    </x:row>
    <x:row r="62" ht="28" customHeight="1">
      <x:c r="A62" s="10" t="str">
        <x:v>设计职责 · 分析</x:v>
      </x:c>
      <x:c r="B62" s="3" t="str">
        <x:f>'75张卡牌'!C15</x:f>
        <x:v>姿态入口</x:v>
      </x:c>
      <x:c r="C62" s="3" t="str">
        <x:f>'75张卡牌'!AZ15</x:f>
        <x:v>多段输出／姿态入口</x:v>
      </x:c>
      <x:c r="D62" s="3" t="str">
        <x:f>'75张卡牌'!H15</x:f>
        <x:v>可保留姿态入口</x:v>
      </x:c>
      <x:c r="E62" s="3" t="str">
        <x:f>'75张卡牌'!AI15</x:f>
        <x:v>姿态入口／状态内收益</x:v>
      </x:c>
      <x:c r="F62" s="3" t="str">
        <x:f>'75张卡牌'!AV15</x:f>
        <x:v>延迟姿态入口／抽牌</x:v>
      </x:c>
      <x:c r="G62" s="3" t="str">
        <x:f>'75张卡牌'!BA15</x:f>
        <x:v>攻击转防御</x:v>
      </x:c>
    </x:row>
    <x:row r="63" ht="44" customHeight="1">
      <x:c r="A63" s="10" t="str">
        <x:v>时序／使用边界</x:v>
      </x:c>
      <x:c r="B63" s="11" t="str">
        <x:f>'75张卡牌'!C17</x:f>
        <x:v>先攻击再切姿态；本次攻击不自动享受新进入的愤怒倍率。</x:v>
      </x:c>
      <x:c r="C63" s="11" t="str">
        <x:f>'75张卡牌'!AZ17</x:f>
        <x:v>先攻击后进愤怒；返回抽牌堆，不是回手或弃牌。</x:v>
      </x:c>
      <x:c r="D63" s="11" t="str">
        <x:f>'75张卡牌'!H17</x:f>
        <x:v>一次性入口；需要退出手段或当回合结束战斗。</x:v>
      </x:c>
      <x:c r="E63" s="11" t="str">
        <x:f>'75张卡牌'!AI17</x:f>
        <x:v>两种分支二选一；入愤怒的同一次使用不会附带易伤。</x:v>
      </x:c>
      <x:c r="F63" s="11" t="str">
        <x:f>'75张卡牌'!AV17</x:f>
        <x:v>提前承诺下回合进入愤怒，需要准备出口。</x:v>
      </x:c>
      <x:c r="G63" s="11" t="str">
        <x:f>'75张卡牌'!BA17</x:f>
        <x:v>只按穿过敌人格挡的伤害计算，不能直接按牌面伤害算。</x:v>
      </x:c>
    </x:row>
    <x:row r="66" ht="28" customHeight="1">
      <x:c r="A66" s="34" t="str">
        <x:v>02  愤怒爆发  ·  7—12 / 22</x:v>
      </x:c>
      <x:c r="B66" s="32"/>
      <x:c r="C66" s="32"/>
      <x:c r="D66" s="32"/>
      <x:c r="E66" s="32"/>
      <x:c r="F66" s="32"/>
      <x:c r="G66" s="32"/>
    </x:row>
    <x:row r="67" ht="30" customHeight="1">
      <x:c r="A67" s="16" t="str">
        <x:v>卡牌名</x:v>
      </x:c>
      <x:c r="B67" s="16" t="str">
        <x:f>'75张卡牌'!BT5</x:f>
        <x:v>诸神之黄昏</x:v>
      </x:c>
      <x:c r="C67" s="16" t="str">
        <x:f>'75张卡牌'!F5</x:f>
        <x:v>碰撞连击</x:v>
      </x:c>
      <x:c r="D67" s="16" t="str">
        <x:f>'75张卡牌'!G5</x:f>
        <x:v>供奉</x:v>
      </x:c>
      <x:c r="E67" s="16" t="str">
        <x:f>'75张卡牌'!I5</x:f>
        <x:v>粉碎关节</x:v>
      </x:c>
      <x:c r="F67" s="16" t="str">
        <x:f>'75张卡牌'!V5</x:f>
        <x:v>腰带抽打</x:v>
      </x:c>
      <x:c r="G67" s="17" t="str">
        <x:f>'75张卡牌'!P5</x:f>
        <x:v>追击</x:v>
      </x:c>
    </x:row>
    <x:row r="68" ht="28" customHeight="1">
      <x:c r="A68" s="10" t="str">
        <x:v>包内职责 · 分析</x:v>
      </x:c>
      <x:c r="B68" s="35" t="str">
        <x:v>核心组件</x:v>
      </x:c>
      <x:c r="C68" s="35" t="str">
        <x:v>可选补件</x:v>
      </x:c>
      <x:c r="D68" s="35" t="str">
        <x:v>可选补件</x:v>
      </x:c>
      <x:c r="E68" s="35" t="str">
        <x:v>可选补件</x:v>
      </x:c>
      <x:c r="F68" s="35" t="str">
        <x:v>可选补件</x:v>
      </x:c>
      <x:c r="G68" s="35" t="str">
        <x:v>可选补件</x:v>
      </x:c>
    </x:row>
    <x:row r="69" ht="28" customHeight="1">
      <x:c r="A69" s="10" t="str">
        <x:v>英文名</x:v>
      </x:c>
      <x:c r="B69" s="3" t="str">
        <x:f>'75张卡牌'!BT6</x:f>
        <x:v>Ragnarok</x:v>
      </x:c>
      <x:c r="C69" s="3" t="str">
        <x:f>'75张卡牌'!F6</x:f>
        <x:v>Bowling Bash</x:v>
      </x:c>
      <x:c r="D69" s="3" t="str">
        <x:f>'75张卡牌'!G6</x:f>
        <x:v>Consecrate</x:v>
      </x:c>
      <x:c r="E69" s="3" t="str">
        <x:f>'75张卡牌'!I6</x:f>
        <x:v>Crush Joints</x:v>
      </x:c>
      <x:c r="F69" s="3" t="str">
        <x:f>'75张卡牌'!V6</x:f>
        <x:v>Sash Whip</x:v>
      </x:c>
      <x:c r="G69" s="3" t="str">
        <x:f>'75张卡牌'!P6</x:f>
        <x:v>Follow-Up</x:v>
      </x:c>
    </x:row>
    <x:row r="70" ht="28" customHeight="1">
      <x:c r="A70" s="10" t="str">
        <x:v>类型／稀有度</x:v>
      </x:c>
      <x:c r="B70" s="11" t="str">
        <x:v>攻击 / 稀有</x:v>
      </x:c>
      <x:c r="C70" s="11" t="str">
        <x:v>攻击 / 普通</x:v>
      </x:c>
      <x:c r="D70" s="11" t="str">
        <x:v>攻击 / 普通</x:v>
      </x:c>
      <x:c r="E70" s="11" t="str">
        <x:v>攻击 / 普通</x:v>
      </x:c>
      <x:c r="F70" s="11" t="str">
        <x:v>攻击 / 普通</x:v>
      </x:c>
      <x:c r="G70" s="11" t="str">
        <x:v>攻击 / 普通</x:v>
      </x:c>
    </x:row>
    <x:row r="71" ht="28" customHeight="1">
      <x:c r="A71" s="10" t="str">
        <x:v>费用 · 基础</x:v>
      </x:c>
      <x:c r="B71" s="20" t="n">
        <x:f>'75张卡牌'!BT9</x:f>
        <x:v>3</x:v>
      </x:c>
      <x:c r="C71" s="20" t="n">
        <x:f>'75张卡牌'!F9</x:f>
        <x:v>1</x:v>
      </x:c>
      <x:c r="D71" s="20" t="n">
        <x:f>'75张卡牌'!G9</x:f>
        <x:v>0</x:v>
      </x:c>
      <x:c r="E71" s="20" t="n">
        <x:f>'75张卡牌'!I9</x:f>
        <x:v>1</x:v>
      </x:c>
      <x:c r="F71" s="20" t="n">
        <x:f>'75张卡牌'!V9</x:f>
        <x:v>1</x:v>
      </x:c>
      <x:c r="G71" s="20" t="n">
        <x:f>'75张卡牌'!P9</x:f>
        <x:v>1</x:v>
      </x:c>
    </x:row>
    <x:row r="72" ht="28" customHeight="1">
      <x:c r="A72" s="10" t="str">
        <x:v>费用 · 升级</x:v>
      </x:c>
      <x:c r="B72" s="21" t="n">
        <x:f>'75张卡牌'!BT10</x:f>
        <x:v>3</x:v>
      </x:c>
      <x:c r="C72" s="21" t="n">
        <x:f>'75张卡牌'!F10</x:f>
        <x:v>1</x:v>
      </x:c>
      <x:c r="D72" s="21" t="n">
        <x:f>'75张卡牌'!G10</x:f>
        <x:v>0</x:v>
      </x:c>
      <x:c r="E72" s="21" t="n">
        <x:f>'75张卡牌'!I10</x:f>
        <x:v>1</x:v>
      </x:c>
      <x:c r="F72" s="21" t="n">
        <x:f>'75张卡牌'!V10</x:f>
        <x:v>1</x:v>
      </x:c>
      <x:c r="G72" s="21" t="n">
        <x:f>'75张卡牌'!P10</x:f>
        <x:v>1</x:v>
      </x:c>
    </x:row>
    <x:row r="73" ht="44" customHeight="1">
      <x:c r="A73" s="10" t="str">
        <x:v>基础效果</x:v>
      </x:c>
      <x:c r="B73" s="3" t="str">
        <x:f>'75张卡牌'!BT11</x:f>
        <x:v>随机选择敌人造成5点伤害，重复5次。</x:v>
      </x:c>
      <x:c r="C73" s="3" t="str">
        <x:f>'75张卡牌'!F11</x:f>
        <x:v>场上每有一个敌人，就对选定敌人造成一次7点伤害。</x:v>
      </x:c>
      <x:c r="D73" s="3" t="str">
        <x:f>'75张卡牌'!G11</x:f>
        <x:v>对所有敌人造成5点伤害。</x:v>
      </x:c>
      <x:c r="E73" s="3" t="str">
        <x:f>'75张卡牌'!I11</x:f>
        <x:v>对单个敌人造成8点伤害；若上一张打出的牌是技能，施加1层易伤。</x:v>
      </x:c>
      <x:c r="F73" s="3" t="str">
        <x:f>'75张卡牌'!V11</x:f>
        <x:v>对单个敌人造成8点伤害；若上一张打出的牌是攻击，施加1层虚弱。</x:v>
      </x:c>
      <x:c r="G73" s="3" t="str">
        <x:f>'75张卡牌'!P11</x:f>
        <x:v>对单个敌人造成7点伤害；若上一张打出的牌是攻击，获得1点能量。</x:v>
      </x:c>
    </x:row>
    <x:row r="74" ht="44" customHeight="1">
      <x:c r="A74" s="10" t="str">
        <x:v>升级后完整效果</x:v>
      </x:c>
      <x:c r="B74" s="11" t="str">
        <x:f>'75张卡牌'!BT12</x:f>
        <x:v>随机选择敌人造成6点伤害，重复6次。</x:v>
      </x:c>
      <x:c r="C74" s="11" t="str">
        <x:f>'75张卡牌'!F12</x:f>
        <x:v>场上每有一个敌人，就对选定敌人造成一次10点伤害。</x:v>
      </x:c>
      <x:c r="D74" s="11" t="str">
        <x:f>'75张卡牌'!G12</x:f>
        <x:v>对所有敌人造成8点伤害。</x:v>
      </x:c>
      <x:c r="E74" s="11" t="str">
        <x:f>'75张卡牌'!I12</x:f>
        <x:v>对单个敌人造成10点伤害；若上一张打出的牌是技能，施加2层易伤。</x:v>
      </x:c>
      <x:c r="F74" s="11" t="str">
        <x:f>'75张卡牌'!V12</x:f>
        <x:v>对单个敌人造成10点伤害；若上一张打出的牌是攻击，施加2层虚弱。</x:v>
      </x:c>
      <x:c r="G74" s="11" t="str">
        <x:f>'75张卡牌'!P12</x:f>
        <x:v>对单个敌人造成11点伤害；若上一张打出的牌是攻击，获得1点能量。</x:v>
      </x:c>
    </x:row>
    <x:row r="75" ht="28" customHeight="1">
      <x:c r="A75" s="22" t="str">
        <x:v>升级改动</x:v>
      </x:c>
      <x:c r="B75" s="23" t="str">
        <x:f>'75张卡牌'!BT13</x:f>
        <x:v>每击5→6；次数5→6</x:v>
      </x:c>
      <x:c r="C75" s="23" t="str">
        <x:f>'75张卡牌'!F13</x:f>
        <x:v>每击伤害7→10</x:v>
      </x:c>
      <x:c r="D75" s="23" t="str">
        <x:f>'75张卡牌'!G13</x:f>
        <x:v>伤害5→8</x:v>
      </x:c>
      <x:c r="E75" s="23" t="str">
        <x:f>'75张卡牌'!I13</x:f>
        <x:v>伤害8→10；易伤1→2</x:v>
      </x:c>
      <x:c r="F75" s="23" t="str">
        <x:f>'75张卡牌'!V13</x:f>
        <x:v>伤害8→10；虚弱1→2</x:v>
      </x:c>
      <x:c r="G75" s="23" t="str">
        <x:f>'75张卡牌'!P13</x:f>
        <x:v>伤害7→11</x:v>
      </x:c>
    </x:row>
    <x:row r="76" ht="28" customHeight="1">
      <x:c r="A76" s="10" t="str">
        <x:v>关键词 · 基础</x:v>
      </x:c>
      <x:c r="B76" s="11" t="str">
        <x:f>'75张卡牌'!BT14</x:f>
        <x:v>—</x:v>
      </x:c>
      <x:c r="C76" s="11" t="str">
        <x:f>'75张卡牌'!F14</x:f>
        <x:v>—</x:v>
      </x:c>
      <x:c r="D76" s="11" t="str">
        <x:f>'75张卡牌'!G14</x:f>
        <x:v>—</x:v>
      </x:c>
      <x:c r="E76" s="11" t="str">
        <x:f>'75张卡牌'!I14</x:f>
        <x:v>易伤</x:v>
      </x:c>
      <x:c r="F76" s="11" t="str">
        <x:f>'75张卡牌'!V14</x:f>
        <x:v>虚弱</x:v>
      </x:c>
      <x:c r="G76" s="11" t="str">
        <x:f>'75张卡牌'!P14</x:f>
        <x:v>—</x:v>
      </x:c>
    </x:row>
    <x:row r="77" ht="28" customHeight="1">
      <x:c r="A77" s="10" t="str">
        <x:v>设计职责 · 分析</x:v>
      </x:c>
      <x:c r="B77" s="3" t="str">
        <x:f>'75张卡牌'!BT15</x:f>
        <x:v>多段爆发</x:v>
      </x:c>
      <x:c r="C77" s="3" t="str">
        <x:f>'75张卡牌'!F15</x:f>
        <x:v>多段输出</x:v>
      </x:c>
      <x:c r="D77" s="3" t="str">
        <x:f>'75张卡牌'!G15</x:f>
        <x:v>低费群攻</x:v>
      </x:c>
      <x:c r="E77" s="3" t="str">
        <x:f>'75张卡牌'!I15</x:f>
        <x:v>输出／减益</x:v>
      </x:c>
      <x:c r="F77" s="3" t="str">
        <x:f>'75张卡牌'!V15</x:f>
        <x:v>输出／减益</x:v>
      </x:c>
      <x:c r="G77" s="3" t="str">
        <x:f>'75张卡牌'!P15</x:f>
        <x:v>输出／能量返还</x:v>
      </x:c>
    </x:row>
    <x:row r="78" ht="44" customHeight="1">
      <x:c r="A78" s="10" t="str">
        <x:v>时序／使用边界</x:v>
      </x:c>
      <x:c r="B78" s="11" t="str">
        <x:f>'75张卡牌'!BT17</x:f>
        <x:v>总基础伤害25→36；多敌人时可能分散。</x:v>
      </x:c>
      <x:c r="C78" s="11" t="str">
        <x:f>'75张卡牌'!F17</x:f>
        <x:v>按敌人数对一个目标多次攻击，不是群攻。</x:v>
      </x:c>
      <x:c r="D78" s="11" t="str">
        <x:f>'75张卡牌'!G17</x:f>
        <x:v>0费但仍占抽牌与出牌次数。</x:v>
      </x:c>
      <x:c r="E78" s="11" t="str">
        <x:f>'75张卡牌'!I17</x:f>
        <x:v>只检查紧邻上一张牌；易伤在本牌伤害后施加。</x:v>
      </x:c>
      <x:c r="F78" s="11" t="str">
        <x:f>'75张卡牌'!V17</x:f>
        <x:v>按上一张牌类型触发，不能跳过中间的技能牌。</x:v>
      </x:c>
      <x:c r="G78" s="11" t="str">
        <x:f>'75张卡牌'!P17</x:f>
        <x:v>满足条件时才返能；仍需要先付出本牌费用。</x:v>
      </x:c>
    </x:row>
    <x:row r="81" ht="28" customHeight="1">
      <x:c r="A81" s="34" t="str">
        <x:v>02  愤怒爆发  ·  13—18 / 22</x:v>
      </x:c>
      <x:c r="B81" s="32"/>
      <x:c r="C81" s="32"/>
      <x:c r="D81" s="32"/>
      <x:c r="E81" s="32"/>
      <x:c r="F81" s="32"/>
      <x:c r="G81" s="32"/>
    </x:row>
    <x:row r="82" ht="30" customHeight="1">
      <x:c r="A82" s="16" t="str">
        <x:v>卡牌名</x:v>
      </x:c>
      <x:c r="B82" s="16" t="str">
        <x:f>'75张卡牌'!O5</x:f>
        <x:v>流云飞袖</x:v>
      </x:c>
      <x:c r="C82" s="16" t="str">
        <x:f>'75张卡牌'!AB5</x:f>
        <x:v>结末</x:v>
      </x:c>
      <x:c r="D82" s="16" t="str">
        <x:f>'75张卡牌'!BD5</x:f>
        <x:v>回旋踢</x:v>
      </x:c>
      <x:c r="E82" s="16" t="str">
        <x:f>'75张卡牌'!BG5</x:f>
        <x:v>火焰纹</x:v>
      </x:c>
      <x:c r="F82" s="16" t="str">
        <x:f>'75张卡牌'!AU5</x:f>
        <x:v>招牌技</x:v>
      </x:c>
      <x:c r="G82" s="17" t="str">
        <x:f>'75张卡牌'!L5</x:f>
        <x:v>化拳为空</x:v>
      </x:c>
    </x:row>
    <x:row r="83" ht="28" customHeight="1">
      <x:c r="A83" s="10" t="str">
        <x:v>包内职责 · 分析</x:v>
      </x:c>
      <x:c r="B83" s="35" t="str">
        <x:v>可选补件</x:v>
      </x:c>
      <x:c r="C83" s="35" t="str">
        <x:v>可选补件</x:v>
      </x:c>
      <x:c r="D83" s="35" t="str">
        <x:v>可选补件</x:v>
      </x:c>
      <x:c r="E83" s="35" t="str">
        <x:v>可选补件</x:v>
      </x:c>
      <x:c r="F83" s="35" t="str">
        <x:v>可选补件</x:v>
      </x:c>
      <x:c r="G83" s="35" t="str">
        <x:v>可选补件</x:v>
      </x:c>
    </x:row>
    <x:row r="84" ht="28" customHeight="1">
      <x:c r="A84" s="10" t="str">
        <x:v>英文名</x:v>
      </x:c>
      <x:c r="B84" s="3" t="str">
        <x:f>'75张卡牌'!O6</x:f>
        <x:v>Flying Sleeves</x:v>
      </x:c>
      <x:c r="C84" s="3" t="str">
        <x:f>'75张卡牌'!AB6</x:f>
        <x:v>Conclude</x:v>
      </x:c>
      <x:c r="D84" s="3" t="str">
        <x:f>'75张卡牌'!BD6</x:f>
        <x:v>Wheel Kick</x:v>
      </x:c>
      <x:c r="E84" s="3" t="str">
        <x:f>'75张卡牌'!BG6</x:f>
        <x:v>Wreath of Flame</x:v>
      </x:c>
      <x:c r="F84" s="3" t="str">
        <x:f>'75张卡牌'!AU6</x:f>
        <x:v>Signature Move</x:v>
      </x:c>
      <x:c r="G84" s="3" t="str">
        <x:f>'75张卡牌'!L6</x:f>
        <x:v>Empty Fist</x:v>
      </x:c>
    </x:row>
    <x:row r="85" ht="28" customHeight="1">
      <x:c r="A85" s="10" t="str">
        <x:v>类型／稀有度</x:v>
      </x:c>
      <x:c r="B85" s="11" t="str">
        <x:v>攻击 / 普通</x:v>
      </x:c>
      <x:c r="C85" s="11" t="str">
        <x:v>攻击 / 罕见</x:v>
      </x:c>
      <x:c r="D85" s="11" t="str">
        <x:v>攻击 / 罕见</x:v>
      </x:c>
      <x:c r="E85" s="11" t="str">
        <x:v>技能 / 罕见</x:v>
      </x:c>
      <x:c r="F85" s="11" t="str">
        <x:v>攻击 / 罕见</x:v>
      </x:c>
      <x:c r="G85" s="11" t="str">
        <x:v>攻击 / 普通</x:v>
      </x:c>
    </x:row>
    <x:row r="86" ht="28" customHeight="1">
      <x:c r="A86" s="10" t="str">
        <x:v>费用 · 基础</x:v>
      </x:c>
      <x:c r="B86" s="20" t="n">
        <x:f>'75张卡牌'!O9</x:f>
        <x:v>1</x:v>
      </x:c>
      <x:c r="C86" s="20" t="n">
        <x:f>'75张卡牌'!AB9</x:f>
        <x:v>1</x:v>
      </x:c>
      <x:c r="D86" s="20" t="n">
        <x:f>'75张卡牌'!BD9</x:f>
        <x:v>2</x:v>
      </x:c>
      <x:c r="E86" s="20" t="n">
        <x:f>'75张卡牌'!BG9</x:f>
        <x:v>1</x:v>
      </x:c>
      <x:c r="F86" s="20" t="n">
        <x:f>'75张卡牌'!AU9</x:f>
        <x:v>2</x:v>
      </x:c>
      <x:c r="G86" s="20" t="n">
        <x:f>'75张卡牌'!L9</x:f>
        <x:v>1</x:v>
      </x:c>
    </x:row>
    <x:row r="87" ht="28" customHeight="1">
      <x:c r="A87" s="10" t="str">
        <x:v>费用 · 升级</x:v>
      </x:c>
      <x:c r="B87" s="21" t="n">
        <x:f>'75张卡牌'!O10</x:f>
        <x:v>1</x:v>
      </x:c>
      <x:c r="C87" s="21" t="n">
        <x:f>'75张卡牌'!AB10</x:f>
        <x:v>1</x:v>
      </x:c>
      <x:c r="D87" s="21" t="n">
        <x:f>'75张卡牌'!BD10</x:f>
        <x:v>2</x:v>
      </x:c>
      <x:c r="E87" s="21" t="n">
        <x:f>'75张卡牌'!BG10</x:f>
        <x:v>1</x:v>
      </x:c>
      <x:c r="F87" s="21" t="n">
        <x:f>'75张卡牌'!AU10</x:f>
        <x:v>2</x:v>
      </x:c>
      <x:c r="G87" s="21" t="n">
        <x:f>'75张卡牌'!L10</x:f>
        <x:v>1</x:v>
      </x:c>
    </x:row>
    <x:row r="88" ht="44" customHeight="1">
      <x:c r="A88" s="10" t="str">
        <x:v>基础效果</x:v>
      </x:c>
      <x:c r="B88" s="3" t="str">
        <x:f>'75张卡牌'!O11</x:f>
        <x:v>保留。对单个敌人造成4点伤害，重复2次。</x:v>
      </x:c>
      <x:c r="C88" s="3" t="str">
        <x:f>'75张卡牌'!AB11</x:f>
        <x:v>对所有敌人造成12点伤害；结束你的回合。</x:v>
      </x:c>
      <x:c r="D88" s="3" t="str">
        <x:f>'75张卡牌'!BD11</x:f>
        <x:v>对单个敌人造成15点伤害；抽2张牌。</x:v>
      </x:c>
      <x:c r="E88" s="3" t="str">
        <x:f>'75张卡牌'!BG11</x:f>
        <x:v>下一张攻击牌每段伤害增加5点。</x:v>
      </x:c>
      <x:c r="F88" s="3" t="str">
        <x:f>'75张卡牌'!AU11</x:f>
        <x:v>仅当它是手牌中唯一的攻击牌时可打出；对单个敌人造成30点伤害。</x:v>
      </x:c>
      <x:c r="G88" s="3" t="str">
        <x:f>'75张卡牌'!L11</x:f>
        <x:v>对单个敌人造成9点伤害；退出当前姿态。</x:v>
      </x:c>
    </x:row>
    <x:row r="89" ht="44" customHeight="1">
      <x:c r="A89" s="10" t="str">
        <x:v>升级后完整效果</x:v>
      </x:c>
      <x:c r="B89" s="11" t="str">
        <x:f>'75张卡牌'!O12</x:f>
        <x:v>保留。对单个敌人造成6点伤害，重复2次。</x:v>
      </x:c>
      <x:c r="C89" s="11" t="str">
        <x:f>'75张卡牌'!AB12</x:f>
        <x:v>对所有敌人造成16点伤害；结束你的回合。</x:v>
      </x:c>
      <x:c r="D89" s="11" t="str">
        <x:f>'75张卡牌'!BD12</x:f>
        <x:v>对单个敌人造成20点伤害；抽2张牌。</x:v>
      </x:c>
      <x:c r="E89" s="11" t="str">
        <x:f>'75张卡牌'!BG12</x:f>
        <x:v>下一张攻击牌每段伤害增加8点。</x:v>
      </x:c>
      <x:c r="F89" s="11" t="str">
        <x:f>'75张卡牌'!AU12</x:f>
        <x:v>仅当它是手牌中唯一的攻击牌时可打出；对单个敌人造成40点伤害。</x:v>
      </x:c>
      <x:c r="G89" s="11" t="str">
        <x:f>'75张卡牌'!L12</x:f>
        <x:v>对单个敌人造成14点伤害；退出当前姿态。</x:v>
      </x:c>
    </x:row>
    <x:row r="90" ht="28" customHeight="1">
      <x:c r="A90" s="22" t="str">
        <x:v>升级改动</x:v>
      </x:c>
      <x:c r="B90" s="23" t="str">
        <x:f>'75张卡牌'!O13</x:f>
        <x:v>每击伤害4→6</x:v>
      </x:c>
      <x:c r="C90" s="23" t="str">
        <x:f>'75张卡牌'!AB13</x:f>
        <x:v>伤害12→16</x:v>
      </x:c>
      <x:c r="D90" s="23" t="str">
        <x:f>'75张卡牌'!BD13</x:f>
        <x:v>伤害15→20</x:v>
      </x:c>
      <x:c r="E90" s="23" t="str">
        <x:f>'75张卡牌'!BG13</x:f>
        <x:v>伤害加成5→8</x:v>
      </x:c>
      <x:c r="F90" s="23" t="str">
        <x:f>'75张卡牌'!AU13</x:f>
        <x:v>伤害30→40</x:v>
      </x:c>
      <x:c r="G90" s="23" t="str">
        <x:f>'75张卡牌'!L13</x:f>
        <x:v>伤害9→14</x:v>
      </x:c>
    </x:row>
    <x:row r="91" ht="28" customHeight="1">
      <x:c r="A91" s="10" t="str">
        <x:v>关键词 · 基础</x:v>
      </x:c>
      <x:c r="B91" s="11" t="str">
        <x:f>'75张卡牌'!O14</x:f>
        <x:v>保留</x:v>
      </x:c>
      <x:c r="C91" s="11" t="str">
        <x:f>'75张卡牌'!AB14</x:f>
        <x:v>—</x:v>
      </x:c>
      <x:c r="D91" s="11" t="str">
        <x:f>'75张卡牌'!BD14</x:f>
        <x:v>—</x:v>
      </x:c>
      <x:c r="E91" s="11" t="str">
        <x:f>'75张卡牌'!BG14</x:f>
        <x:v>—</x:v>
      </x:c>
      <x:c r="F91" s="11" t="str">
        <x:f>'75张卡牌'!AU14</x:f>
        <x:v>—</x:v>
      </x:c>
      <x:c r="G91" s="11" t="str">
        <x:f>'75张卡牌'!L14</x:f>
        <x:v>—</x:v>
      </x:c>
    </x:row>
    <x:row r="92" ht="28" customHeight="1">
      <x:c r="A92" s="10" t="str">
        <x:v>设计职责 · 分析</x:v>
      </x:c>
      <x:c r="B92" s="3" t="str">
        <x:f>'75张卡牌'!O15</x:f>
        <x:v>保留／多段输出</x:v>
      </x:c>
      <x:c r="C92" s="3" t="str">
        <x:f>'75张卡牌'!AB15</x:f>
        <x:v>高效群攻／回合终结</x:v>
      </x:c>
      <x:c r="D92" s="3" t="str">
        <x:f>'75张卡牌'!BD15</x:f>
        <x:v>输出／抽牌</x:v>
      </x:c>
      <x:c r="E92" s="3" t="str">
        <x:f>'75张卡牌'!BG15</x:f>
        <x:v>多段攻击放大</x:v>
      </x:c>
      <x:c r="F92" s="3" t="str">
        <x:f>'75张卡牌'!AU15</x:f>
        <x:v>手牌条件爆发</x:v>
      </x:c>
      <x:c r="G92" s="3" t="str">
        <x:f>'75张卡牌'!L15</x:f>
        <x:v>输出／姿态出口</x:v>
      </x:c>
    </x:row>
    <x:row r="93" ht="44" customHeight="1">
      <x:c r="A93" s="10" t="str">
        <x:v>时序／使用边界</x:v>
      </x:c>
      <x:c r="B93" s="11" t="str">
        <x:f>'75张卡牌'!O17</x:f>
        <x:v>总基础伤害8→12；力量按两次攻击结算。</x:v>
      </x:c>
      <x:c r="C93" s="11" t="str">
        <x:f>'75张卡牌'!AB17</x:f>
        <x:v>未击杀时，打出前应完成防御和退出愤怒。</x:v>
      </x:c>
      <x:c r="D93" s="11" t="str">
        <x:f>'75张卡牌'!BD17</x:f>
        <x:v>2费带来即时伤害与手牌补充。</x:v>
      </x:c>
      <x:c r="E93" s="11" t="str">
        <x:f>'75张卡牌'!BG17</x:f>
        <x:v>加成用于下一张攻击，而不是只给第一段；提前打小攻击会消耗它。</x:v>
      </x:c>
      <x:c r="F93" s="11" t="str">
        <x:f>'75张卡牌'!AU17</x:f>
        <x:v>保留攻击或持续造攻击牌可能妨碍满足条件。</x:v>
      </x:c>
      <x:c r="G93" s="11" t="str">
        <x:f>'75张卡牌'!L17</x:f>
        <x:v>先结算攻击，因而可享受退出前的愤怒或神格。</x:v>
      </x:c>
    </x:row>
    <x:row r="96" ht="28" customHeight="1">
      <x:c r="A96" s="34" t="str">
        <x:v>02  愤怒爆发  ·  19—22 / 22</x:v>
      </x:c>
      <x:c r="B96" s="32"/>
      <x:c r="C96" s="32"/>
      <x:c r="D96" s="32"/>
      <x:c r="E96" s="32"/>
      <x:c r="F96" s="32"/>
      <x:c r="G96" s="32"/>
    </x:row>
    <x:row r="97" ht="30" customHeight="1">
      <x:c r="A97" s="16" t="str">
        <x:v>卡牌名</x:v>
      </x:c>
      <x:c r="B97" s="16" t="str">
        <x:f>'75张卡牌'!X5</x:f>
        <x:v>安宁</x:v>
      </x:c>
      <x:c r="C97" s="16" t="str">
        <x:f>'75张卡牌'!Q5</x:f>
        <x:v>停顿</x:v>
      </x:c>
      <x:c r="D97" s="16" t="str">
        <x:f>'75张卡牌'!AX5</x:f>
        <x:v>旋身</x:v>
      </x:c>
      <x:c r="E97" s="17" t="str">
        <x:f>'75张卡牌'!BI5</x:f>
        <x:v>渎神</x:v>
      </x:c>
    </x:row>
    <x:row r="98" ht="28" customHeight="1">
      <x:c r="A98" s="10" t="str">
        <x:v>包内职责 · 分析</x:v>
      </x:c>
      <x:c r="B98" s="35" t="str">
        <x:v>可选补件</x:v>
      </x:c>
      <x:c r="C98" s="35" t="str">
        <x:v>可选补件</x:v>
      </x:c>
      <x:c r="D98" s="35" t="str">
        <x:v>可选补件</x:v>
      </x:c>
      <x:c r="E98" s="35" t="str">
        <x:v>可选补件</x:v>
      </x:c>
    </x:row>
    <x:row r="99" ht="28" customHeight="1">
      <x:c r="A99" s="10" t="str">
        <x:v>英文名</x:v>
      </x:c>
      <x:c r="B99" s="3" t="str">
        <x:f>'75张卡牌'!X6</x:f>
        <x:v>Tranquility</x:v>
      </x:c>
      <x:c r="C99" s="3" t="str">
        <x:f>'75张卡牌'!Q6</x:f>
        <x:v>Halt</x:v>
      </x:c>
      <x:c r="D99" s="3" t="str">
        <x:f>'75张卡牌'!AX6</x:f>
        <x:v>Swivel</x:v>
      </x:c>
      <x:c r="E99" s="3" t="str">
        <x:f>'75张卡牌'!BI6</x:f>
        <x:v>Blasphemy</x:v>
      </x:c>
    </x:row>
    <x:row r="100" ht="28" customHeight="1">
      <x:c r="A100" s="10" t="str">
        <x:v>类型／稀有度</x:v>
      </x:c>
      <x:c r="B100" s="11" t="str">
        <x:v>技能 / 普通</x:v>
      </x:c>
      <x:c r="C100" s="11" t="str">
        <x:v>技能 / 普通</x:v>
      </x:c>
      <x:c r="D100" s="11" t="str">
        <x:v>技能 / 罕见</x:v>
      </x:c>
      <x:c r="E100" s="11" t="str">
        <x:v>技能 / 稀有</x:v>
      </x:c>
    </x:row>
    <x:row r="101" ht="28" customHeight="1">
      <x:c r="A101" s="10" t="str">
        <x:v>费用 · 基础</x:v>
      </x:c>
      <x:c r="B101" s="20" t="n">
        <x:f>'75张卡牌'!X9</x:f>
        <x:v>1</x:v>
      </x:c>
      <x:c r="C101" s="20" t="n">
        <x:f>'75张卡牌'!Q9</x:f>
        <x:v>0</x:v>
      </x:c>
      <x:c r="D101" s="20" t="n">
        <x:f>'75张卡牌'!AX9</x:f>
        <x:v>2</x:v>
      </x:c>
      <x:c r="E101" s="20" t="n">
        <x:f>'75张卡牌'!BI9</x:f>
        <x:v>1</x:v>
      </x:c>
    </x:row>
    <x:row r="102" ht="28" customHeight="1">
      <x:c r="A102" s="10" t="str">
        <x:v>费用 · 升级</x:v>
      </x:c>
      <x:c r="B102" s="21" t="n">
        <x:f>'75张卡牌'!X10</x:f>
        <x:v>0</x:v>
      </x:c>
      <x:c r="C102" s="21" t="n">
        <x:f>'75张卡牌'!Q10</x:f>
        <x:v>0</x:v>
      </x:c>
      <x:c r="D102" s="21" t="n">
        <x:f>'75张卡牌'!AX10</x:f>
        <x:v>2</x:v>
      </x:c>
      <x:c r="E102" s="21" t="n">
        <x:f>'75张卡牌'!BI10</x:f>
        <x:v>1</x:v>
      </x:c>
    </x:row>
    <x:row r="103" ht="44" customHeight="1">
      <x:c r="A103" s="10" t="str">
        <x:v>基础效果</x:v>
      </x:c>
      <x:c r="B103" s="3" t="str">
        <x:f>'75张卡牌'!X11</x:f>
        <x:v>保留。进入平静。消耗。</x:v>
      </x:c>
      <x:c r="C103" s="3" t="str">
        <x:f>'75张卡牌'!Q11</x:f>
        <x:v>获得3点格挡；处于愤怒时，再获得9点格挡。</x:v>
      </x:c>
      <x:c r="D103" s="3" t="str">
        <x:f>'75张卡牌'!AX11</x:f>
        <x:v>获得8点格挡；你下一张打出的攻击牌费用为0。</x:v>
      </x:c>
      <x:c r="E103" s="3" t="str">
        <x:f>'75张卡牌'!BI11</x:f>
        <x:v>进入神格；下回合死亡。消耗。</x:v>
      </x:c>
    </x:row>
    <x:row r="104" ht="44" customHeight="1">
      <x:c r="A104" s="10" t="str">
        <x:v>升级后完整效果</x:v>
      </x:c>
      <x:c r="B104" s="11" t="str">
        <x:f>'75张卡牌'!X12</x:f>
        <x:v>保留。进入平静。消耗。</x:v>
      </x:c>
      <x:c r="C104" s="11" t="str">
        <x:f>'75张卡牌'!Q12</x:f>
        <x:v>获得4点格挡；处于愤怒时，再获得14点格挡。</x:v>
      </x:c>
      <x:c r="D104" s="11" t="str">
        <x:f>'75张卡牌'!AX12</x:f>
        <x:v>获得11点格挡；你下一张打出的攻击牌费用为0。</x:v>
      </x:c>
      <x:c r="E104" s="11" t="str">
        <x:f>'75张卡牌'!BI12</x:f>
        <x:v>保留。进入神格；下回合死亡。消耗。</x:v>
      </x:c>
    </x:row>
    <x:row r="105" ht="28" customHeight="1">
      <x:c r="A105" s="22" t="str">
        <x:v>升级改动</x:v>
      </x:c>
      <x:c r="B105" s="23" t="str">
        <x:f>'75张卡牌'!X13</x:f>
        <x:v>费用1→0</x:v>
      </x:c>
      <x:c r="C105" s="23" t="str">
        <x:f>'75张卡牌'!Q13</x:f>
        <x:v>基础格挡3→4；额外9→14</x:v>
      </x:c>
      <x:c r="D105" s="23" t="str">
        <x:f>'75张卡牌'!AX13</x:f>
        <x:v>格挡8→11</x:v>
      </x:c>
      <x:c r="E105" s="23" t="str">
        <x:f>'75张卡牌'!BI13</x:f>
        <x:v>新增保留</x:v>
      </x:c>
    </x:row>
    <x:row r="106" ht="28" customHeight="1">
      <x:c r="A106" s="10" t="str">
        <x:v>关键词 · 基础</x:v>
      </x:c>
      <x:c r="B106" s="11" t="str">
        <x:f>'75张卡牌'!X14</x:f>
        <x:v>保留、消耗、平静</x:v>
      </x:c>
      <x:c r="C106" s="11" t="str">
        <x:f>'75张卡牌'!Q14</x:f>
        <x:v>愤怒</x:v>
      </x:c>
      <x:c r="D106" s="11" t="str">
        <x:f>'75张卡牌'!AX14</x:f>
        <x:v>—</x:v>
      </x:c>
      <x:c r="E106" s="11" t="str">
        <x:f>'75张卡牌'!BI14</x:f>
        <x:v>消耗、神格</x:v>
      </x:c>
    </x:row>
    <x:row r="107" ht="28" customHeight="1">
      <x:c r="A107" s="10" t="str">
        <x:v>设计职责 · 分析</x:v>
      </x:c>
      <x:c r="B107" s="3" t="str">
        <x:f>'75张卡牌'!X15</x:f>
        <x:v>可保留姿态入口</x:v>
      </x:c>
      <x:c r="C107" s="3" t="str">
        <x:f>'75张卡牌'!Q15</x:f>
        <x:v>姿态条件防御</x:v>
      </x:c>
      <x:c r="D107" s="3" t="str">
        <x:f>'75张卡牌'!AX15</x:f>
        <x:v>防御／攻击费用转换</x:v>
      </x:c>
      <x:c r="E107" s="3" t="str">
        <x:f>'75张卡牌'!BI15</x:f>
        <x:v>高风险爆发入口</x:v>
      </x:c>
    </x:row>
    <x:row r="108" ht="44" customHeight="1">
      <x:c r="A108" s="10" t="str">
        <x:v>时序／使用边界</x:v>
      </x:c>
      <x:c r="B108" s="11" t="str">
        <x:f>'75张卡牌'!X17</x:f>
        <x:v>可作为愤怒出口，但消耗后不能持续参与循环。</x:v>
      </x:c>
      <x:c r="C108" s="11" t="str">
        <x:f>'75张卡牌'!Q17</x:f>
        <x:v>愤怒下无修正总格挡12→18；额外部分单独结算。</x:v>
      </x:c>
      <x:c r="D108" s="11" t="str">
        <x:f>'75张卡牌'!AX17</x:f>
        <x:v>只替代下一张攻击的费用，不能让整个回合攻击免费。</x:v>
      </x:c>
      <x:c r="E108" s="11" t="str">
        <x:f>'75张卡牌'!BI17</x:f>
        <x:v>必须把死亡代价纳入计划；与普通真言入神格的代价不同。</x:v>
      </x:c>
    </x:row>
    <x:row r="111" ht="28" customHeight="1">
      <x:c r="A111" s="34" t="str">
        <x:v>03  占卜回收  ·  1—6 / 9</x:v>
      </x:c>
      <x:c r="B111" s="32"/>
      <x:c r="C111" s="32"/>
      <x:c r="D111" s="32"/>
      <x:c r="E111" s="32"/>
      <x:c r="F111" s="32"/>
      <x:c r="G111" s="32"/>
    </x:row>
    <x:row r="112" ht="30" customHeight="1">
      <x:c r="A112" s="16" t="str">
        <x:v>卡牌名</x:v>
      </x:c>
      <x:c r="B112" s="16" t="str">
        <x:f>'75张卡牌'!J5</x:f>
        <x:v>斩破命运</x:v>
      </x:c>
      <x:c r="C112" s="16" t="str">
        <x:f>'75张卡牌'!W5</x:f>
        <x:v>天眼</x:v>
      </x:c>
      <x:c r="D112" s="16" t="str">
        <x:f>'75张卡牌'!R5</x:f>
        <x:v>幸运一击</x:v>
      </x:c>
      <x:c r="E112" s="16" t="str">
        <x:f>'75张卡牌'!AH5</x:f>
        <x:v>先见之明</x:v>
      </x:c>
      <x:c r="F112" s="16" t="str">
        <x:f>'75张卡牌'!BC5</x:f>
        <x:v>迂回</x:v>
      </x:c>
      <x:c r="G112" s="17" t="str">
        <x:f>'75张卡牌'!AN5</x:f>
        <x:v>涅槃</x:v>
      </x:c>
    </x:row>
    <x:row r="113" ht="28" customHeight="1">
      <x:c r="A113" s="10" t="str">
        <x:v>包内职责 · 分析</x:v>
      </x:c>
      <x:c r="B113" s="35" t="str">
        <x:v>核心组件</x:v>
      </x:c>
      <x:c r="C113" s="35" t="str">
        <x:v>核心组件</x:v>
      </x:c>
      <x:c r="D113" s="35" t="str">
        <x:v>核心组件</x:v>
      </x:c>
      <x:c r="E113" s="35" t="str">
        <x:v>核心组件</x:v>
      </x:c>
      <x:c r="F113" s="35" t="str">
        <x:v>核心组件</x:v>
      </x:c>
      <x:c r="G113" s="35" t="str">
        <x:v>核心组件</x:v>
      </x:c>
    </x:row>
    <x:row r="114" ht="28" customHeight="1">
      <x:c r="A114" s="10" t="str">
        <x:v>英文名</x:v>
      </x:c>
      <x:c r="B114" s="3" t="str">
        <x:f>'75张卡牌'!J6</x:f>
        <x:v>Cut Through Fate</x:v>
      </x:c>
      <x:c r="C114" s="3" t="str">
        <x:f>'75张卡牌'!W6</x:f>
        <x:v>Third Eye</x:v>
      </x:c>
      <x:c r="D114" s="3" t="str">
        <x:f>'75张卡牌'!R6</x:f>
        <x:v>Just Lucky</x:v>
      </x:c>
      <x:c r="E114" s="3" t="str">
        <x:f>'75张卡牌'!AH6</x:f>
        <x:v>Foresight</x:v>
      </x:c>
      <x:c r="F114" s="3" t="str">
        <x:f>'75张卡牌'!BC6</x:f>
        <x:v>Weave</x:v>
      </x:c>
      <x:c r="G114" s="3" t="str">
        <x:f>'75张卡牌'!AN6</x:f>
        <x:v>Nirvana</x:v>
      </x:c>
    </x:row>
    <x:row r="115" ht="28" customHeight="1">
      <x:c r="A115" s="10" t="str">
        <x:v>类型／稀有度</x:v>
      </x:c>
      <x:c r="B115" s="11" t="str">
        <x:v>攻击 / 普通</x:v>
      </x:c>
      <x:c r="C115" s="11" t="str">
        <x:v>技能 / 普通</x:v>
      </x:c>
      <x:c r="D115" s="11" t="str">
        <x:v>攻击 / 普通</x:v>
      </x:c>
      <x:c r="E115" s="11" t="str">
        <x:v>能力 / 罕见</x:v>
      </x:c>
      <x:c r="F115" s="11" t="str">
        <x:v>攻击 / 罕见</x:v>
      </x:c>
      <x:c r="G115" s="11" t="str">
        <x:v>能力 / 罕见</x:v>
      </x:c>
    </x:row>
    <x:row r="116" ht="28" customHeight="1">
      <x:c r="A116" s="10" t="str">
        <x:v>费用 · 基础</x:v>
      </x:c>
      <x:c r="B116" s="20" t="n">
        <x:f>'75张卡牌'!J9</x:f>
        <x:v>1</x:v>
      </x:c>
      <x:c r="C116" s="20" t="n">
        <x:f>'75张卡牌'!W9</x:f>
        <x:v>1</x:v>
      </x:c>
      <x:c r="D116" s="20" t="n">
        <x:f>'75张卡牌'!R9</x:f>
        <x:v>0</x:v>
      </x:c>
      <x:c r="E116" s="20" t="n">
        <x:f>'75张卡牌'!AH9</x:f>
        <x:v>1</x:v>
      </x:c>
      <x:c r="F116" s="20" t="n">
        <x:f>'75张卡牌'!BC9</x:f>
        <x:v>0</x:v>
      </x:c>
      <x:c r="G116" s="20" t="n">
        <x:f>'75张卡牌'!AN9</x:f>
        <x:v>1</x:v>
      </x:c>
    </x:row>
    <x:row r="117" ht="28" customHeight="1">
      <x:c r="A117" s="10" t="str">
        <x:v>费用 · 升级</x:v>
      </x:c>
      <x:c r="B117" s="21" t="n">
        <x:f>'75张卡牌'!J10</x:f>
        <x:v>1</x:v>
      </x:c>
      <x:c r="C117" s="21" t="n">
        <x:f>'75张卡牌'!W10</x:f>
        <x:v>1</x:v>
      </x:c>
      <x:c r="D117" s="21" t="n">
        <x:f>'75张卡牌'!R10</x:f>
        <x:v>0</x:v>
      </x:c>
      <x:c r="E117" s="21" t="n">
        <x:f>'75张卡牌'!AH10</x:f>
        <x:v>1</x:v>
      </x:c>
      <x:c r="F117" s="21" t="n">
        <x:f>'75张卡牌'!BC10</x:f>
        <x:v>0</x:v>
      </x:c>
      <x:c r="G117" s="21" t="n">
        <x:f>'75张卡牌'!AN10</x:f>
        <x:v>1</x:v>
      </x:c>
    </x:row>
    <x:row r="118" ht="44" customHeight="1">
      <x:c r="A118" s="10" t="str">
        <x:v>基础效果</x:v>
      </x:c>
      <x:c r="B118" s="3" t="str">
        <x:f>'75张卡牌'!J11</x:f>
        <x:v>对单个敌人造成7点伤害；占卜2；抽1张牌。</x:v>
      </x:c>
      <x:c r="C118" s="3" t="str">
        <x:f>'75张卡牌'!W11</x:f>
        <x:v>获得7点格挡；占卜3。</x:v>
      </x:c>
      <x:c r="D118" s="3" t="str">
        <x:f>'75张卡牌'!R11</x:f>
        <x:v>占卜1；获得2点格挡；对单个敌人造成3点伤害。</x:v>
      </x:c>
      <x:c r="E118" s="3" t="str">
        <x:f>'75张卡牌'!AH11</x:f>
        <x:v>每回合开始时，占卜3。</x:v>
      </x:c>
      <x:c r="F118" s="3" t="str">
        <x:f>'75张卡牌'!BC11</x:f>
        <x:v>对单个敌人造成4点伤害；每次占卜，此牌从弃牌堆回到手牌。</x:v>
      </x:c>
      <x:c r="G118" s="3" t="str">
        <x:f>'75张卡牌'!AN11</x:f>
        <x:v>每次占卜，获得3点格挡。</x:v>
      </x:c>
    </x:row>
    <x:row r="119" ht="44" customHeight="1">
      <x:c r="A119" s="10" t="str">
        <x:v>升级后完整效果</x:v>
      </x:c>
      <x:c r="B119" s="11" t="str">
        <x:f>'75张卡牌'!J12</x:f>
        <x:v>对单个敌人造成9点伤害；占卜3；抽1张牌。</x:v>
      </x:c>
      <x:c r="C119" s="11" t="str">
        <x:f>'75张卡牌'!W12</x:f>
        <x:v>获得9点格挡；占卜5。</x:v>
      </x:c>
      <x:c r="D119" s="11" t="str">
        <x:f>'75张卡牌'!R12</x:f>
        <x:v>占卜2；获得3点格挡；对单个敌人造成4点伤害。</x:v>
      </x:c>
      <x:c r="E119" s="11" t="str">
        <x:f>'75张卡牌'!AH12</x:f>
        <x:v>每回合开始时，占卜4。</x:v>
      </x:c>
      <x:c r="F119" s="11" t="str">
        <x:f>'75张卡牌'!BC12</x:f>
        <x:v>对单个敌人造成6点伤害；每次占卜，此牌从弃牌堆回到手牌。</x:v>
      </x:c>
      <x:c r="G119" s="11" t="str">
        <x:f>'75张卡牌'!AN12</x:f>
        <x:v>每次占卜，获得4点格挡。</x:v>
      </x:c>
    </x:row>
    <x:row r="120" ht="28" customHeight="1">
      <x:c r="A120" s="22" t="str">
        <x:v>升级改动</x:v>
      </x:c>
      <x:c r="B120" s="23" t="str">
        <x:f>'75张卡牌'!J13</x:f>
        <x:v>伤害7→9；占卜2→3</x:v>
      </x:c>
      <x:c r="C120" s="23" t="str">
        <x:f>'75张卡牌'!W13</x:f>
        <x:v>格挡7→9；占卜3→5</x:v>
      </x:c>
      <x:c r="D120" s="23" t="str">
        <x:f>'75张卡牌'!R13</x:f>
        <x:v>占卜1→2；格挡2→3；伤害3→4</x:v>
      </x:c>
      <x:c r="E120" s="23" t="str">
        <x:f>'75张卡牌'!AH13</x:f>
        <x:v>占卜3→4</x:v>
      </x:c>
      <x:c r="F120" s="23" t="str">
        <x:f>'75张卡牌'!BC13</x:f>
        <x:v>伤害4→6</x:v>
      </x:c>
      <x:c r="G120" s="23" t="str">
        <x:f>'75张卡牌'!AN13</x:f>
        <x:v>每次格挡3→4</x:v>
      </x:c>
    </x:row>
    <x:row r="121" ht="28" customHeight="1">
      <x:c r="A121" s="10" t="str">
        <x:v>关键词 · 基础</x:v>
      </x:c>
      <x:c r="B121" s="11" t="str">
        <x:f>'75张卡牌'!J14</x:f>
        <x:v>占卜</x:v>
      </x:c>
      <x:c r="C121" s="11" t="str">
        <x:f>'75张卡牌'!W14</x:f>
        <x:v>占卜</x:v>
      </x:c>
      <x:c r="D121" s="11" t="str">
        <x:f>'75张卡牌'!R14</x:f>
        <x:v>占卜</x:v>
      </x:c>
      <x:c r="E121" s="11" t="str">
        <x:f>'75张卡牌'!AH14</x:f>
        <x:v>占卜</x:v>
      </x:c>
      <x:c r="F121" s="11" t="str">
        <x:f>'75张卡牌'!BC14</x:f>
        <x:v>占卜</x:v>
      </x:c>
      <x:c r="G121" s="11" t="str">
        <x:f>'75张卡牌'!AN14</x:f>
        <x:v>占卜</x:v>
      </x:c>
    </x:row>
    <x:row r="122" ht="28" customHeight="1">
      <x:c r="A122" s="10" t="str">
        <x:v>设计职责 · 分析</x:v>
      </x:c>
      <x:c r="B122" s="3" t="str">
        <x:f>'75张卡牌'!J15</x:f>
        <x:v>筛牌／抽牌／输出</x:v>
      </x:c>
      <x:c r="C122" s="3" t="str">
        <x:f>'75张卡牌'!W15</x:f>
        <x:v>防御／筛牌</x:v>
      </x:c>
      <x:c r="D122" s="3" t="str">
        <x:f>'75张卡牌'!R15</x:f>
        <x:v>低费筛牌／攻防</x:v>
      </x:c>
      <x:c r="E122" s="3" t="str">
        <x:f>'75张卡牌'!AH15</x:f>
        <x:v>持续筛牌</x:v>
      </x:c>
      <x:c r="F122" s="3" t="str">
        <x:f>'75张卡牌'!BC15</x:f>
        <x:v>筛牌回收／输出</x:v>
      </x:c>
      <x:c r="G122" s="3" t="str">
        <x:f>'75张卡牌'!AN15</x:f>
        <x:v>筛牌事件回报</x:v>
      </x:c>
    </x:row>
    <x:row r="123" ht="44" customHeight="1">
      <x:c r="A123" s="10" t="str">
        <x:v>时序／使用边界</x:v>
      </x:c>
      <x:c r="B123" s="11" t="str">
        <x:f>'75张卡牌'!J17</x:f>
        <x:v>先占卜后抽牌，可筛选本次要抽到的牌。</x:v>
      </x:c>
      <x:c r="C123" s="11" t="str">
        <x:f>'75张卡牌'!W17</x:f>
        <x:v>不直接抽牌；可为后续抽牌或下一回合准备。</x:v>
      </x:c>
      <x:c r="D123" s="11" t="str">
        <x:f>'75张卡牌'!R17</x:f>
        <x:v>占卜不等于抽牌；本牌自身不补充手牌。</x:v>
      </x:c>
      <x:c r="E123" s="11" t="str">
        <x:f>'75张卡牌'!AH17</x:f>
        <x:v>每回合启动，不是额外抽牌；占卜不触发洗牌。</x:v>
      </x:c>
      <x:c r="F123" s="11" t="str">
        <x:f>'75张卡牌'!BC17</x:f>
        <x:v>空抽牌堆占卜不会回收迂回；占卜不会自行洗牌。</x:v>
      </x:c>
      <x:c r="G123" s="11" t="str">
        <x:f>'75张卡牌'!AN17</x:f>
        <x:v>按占卜事件次数结算，不按查看或弃掉的牌数。</x:v>
      </x:c>
    </x:row>
    <x:row r="126" ht="28" customHeight="1">
      <x:c r="A126" s="34" t="str">
        <x:v>03  占卜回收  ·  7—9 / 9</x:v>
      </x:c>
      <x:c r="B126" s="32"/>
      <x:c r="C126" s="32"/>
      <x:c r="D126" s="32"/>
      <x:c r="E126" s="32"/>
      <x:c r="F126" s="32"/>
      <x:c r="G126" s="32"/>
    </x:row>
    <x:row r="127" ht="30" customHeight="1">
      <x:c r="A127" s="16" t="str">
        <x:v>卡牌名</x:v>
      </x:c>
      <x:c r="B127" s="16" t="str">
        <x:f>'75张卡牌'!AY5</x:f>
        <x:v>以手拒之</x:v>
      </x:c>
      <x:c r="C127" s="16" t="str">
        <x:f>'75张卡牌'!BU5</x:f>
        <x:v>潦草急就</x:v>
      </x:c>
      <x:c r="D127" s="17" t="str">
        <x:f>'75张卡牌'!AE5</x:f>
        <x:v>斋戒</x:v>
      </x:c>
    </x:row>
    <x:row r="128" ht="28" customHeight="1">
      <x:c r="A128" s="10" t="str">
        <x:v>包内职责 · 分析</x:v>
      </x:c>
      <x:c r="B128" s="35" t="str">
        <x:v>可选补件</x:v>
      </x:c>
      <x:c r="C128" s="35" t="str">
        <x:v>可选补件</x:v>
      </x:c>
      <x:c r="D128" s="35" t="str">
        <x:v>可选补件</x:v>
      </x:c>
    </x:row>
    <x:row r="129" ht="28" customHeight="1">
      <x:c r="A129" s="10" t="str">
        <x:v>英文名</x:v>
      </x:c>
      <x:c r="B129" s="3" t="str">
        <x:f>'75张卡牌'!AY6</x:f>
        <x:v>Talk to the Hand</x:v>
      </x:c>
      <x:c r="C129" s="3" t="str">
        <x:f>'75张卡牌'!BU6</x:f>
        <x:v>Scrawl</x:v>
      </x:c>
      <x:c r="D129" s="3" t="str">
        <x:f>'75张卡牌'!AE6</x:f>
        <x:v>Fasting</x:v>
      </x:c>
    </x:row>
    <x:row r="130" ht="28" customHeight="1">
      <x:c r="A130" s="10" t="str">
        <x:v>类型／稀有度</x:v>
      </x:c>
      <x:c r="B130" s="11" t="str">
        <x:v>攻击 / 罕见</x:v>
      </x:c>
      <x:c r="C130" s="11" t="str">
        <x:v>技能 / 稀有</x:v>
      </x:c>
      <x:c r="D130" s="11" t="str">
        <x:v>能力 / 罕见</x:v>
      </x:c>
    </x:row>
    <x:row r="131" ht="28" customHeight="1">
      <x:c r="A131" s="10" t="str">
        <x:v>费用 · 基础</x:v>
      </x:c>
      <x:c r="B131" s="20" t="n">
        <x:f>'75张卡牌'!AY9</x:f>
        <x:v>1</x:v>
      </x:c>
      <x:c r="C131" s="20" t="n">
        <x:f>'75张卡牌'!BU9</x:f>
        <x:v>1</x:v>
      </x:c>
      <x:c r="D131" s="20" t="n">
        <x:f>'75张卡牌'!AE9</x:f>
        <x:v>2</x:v>
      </x:c>
    </x:row>
    <x:row r="132" ht="28" customHeight="1">
      <x:c r="A132" s="10" t="str">
        <x:v>费用 · 升级</x:v>
      </x:c>
      <x:c r="B132" s="21" t="n">
        <x:f>'75张卡牌'!AY10</x:f>
        <x:v>1</x:v>
      </x:c>
      <x:c r="C132" s="21" t="n">
        <x:f>'75张卡牌'!BU10</x:f>
        <x:v>0</x:v>
      </x:c>
      <x:c r="D132" s="21" t="n">
        <x:f>'75张卡牌'!AE10</x:f>
        <x:v>2</x:v>
      </x:c>
    </x:row>
    <x:row r="133" ht="44" customHeight="1">
      <x:c r="A133" s="10" t="str">
        <x:v>基础效果</x:v>
      </x:c>
      <x:c r="B133" s="3" t="str">
        <x:f>'75张卡牌'!AY11</x:f>
        <x:v>对单个敌人造成5点伤害；此后每次攻击该敌人，获得2点格挡。消耗。</x:v>
      </x:c>
      <x:c r="C133" s="3" t="str">
        <x:f>'75张卡牌'!BU11</x:f>
        <x:v>抽牌直到手牌达到上限。消耗。</x:v>
      </x:c>
      <x:c r="D133" s="3" t="str">
        <x:f>'75张卡牌'!AE11</x:f>
        <x:v>获得3点力量和3点敏捷；以后每回合开始时少获得1点能量。</x:v>
      </x:c>
    </x:row>
    <x:row r="134" ht="44" customHeight="1">
      <x:c r="A134" s="10" t="str">
        <x:v>升级后完整效果</x:v>
      </x:c>
      <x:c r="B134" s="11" t="str">
        <x:f>'75张卡牌'!AY12</x:f>
        <x:v>对单个敌人造成7点伤害；此后每次攻击该敌人，获得3点格挡。消耗。</x:v>
      </x:c>
      <x:c r="C134" s="11" t="str">
        <x:f>'75张卡牌'!BU12</x:f>
        <x:v>抽牌直到手牌达到上限。消耗。</x:v>
      </x:c>
      <x:c r="D134" s="11" t="str">
        <x:f>'75张卡牌'!AE12</x:f>
        <x:v>获得4点力量和4点敏捷；以后每回合开始时少获得1点能量。</x:v>
      </x:c>
    </x:row>
    <x:row r="135" ht="28" customHeight="1">
      <x:c r="A135" s="22" t="str">
        <x:v>升级改动</x:v>
      </x:c>
      <x:c r="B135" s="23" t="str">
        <x:f>'75张卡牌'!AY13</x:f>
        <x:v>伤害5→7；每次格挡2→3</x:v>
      </x:c>
      <x:c r="C135" s="23" t="str">
        <x:f>'75张卡牌'!BU13</x:f>
        <x:v>费用1→0</x:v>
      </x:c>
      <x:c r="D135" s="23" t="str">
        <x:f>'75张卡牌'!AE13</x:f>
        <x:v>力量与敏捷各3→4</x:v>
      </x:c>
    </x:row>
    <x:row r="136" ht="28" customHeight="1">
      <x:c r="A136" s="10" t="str">
        <x:v>关键词 · 基础</x:v>
      </x:c>
      <x:c r="B136" s="11" t="str">
        <x:f>'75张卡牌'!AY14</x:f>
        <x:v>消耗</x:v>
      </x:c>
      <x:c r="C136" s="11" t="str">
        <x:f>'75张卡牌'!BU14</x:f>
        <x:v>消耗</x:v>
      </x:c>
      <x:c r="D136" s="11" t="str">
        <x:f>'75张卡牌'!AE14</x:f>
        <x:v>—</x:v>
      </x:c>
    </x:row>
    <x:row r="137" ht="28" customHeight="1">
      <x:c r="A137" s="10" t="str">
        <x:v>设计职责 · 分析</x:v>
      </x:c>
      <x:c r="B137" s="3" t="str">
        <x:f>'75张卡牌'!AY15</x:f>
        <x:v>攻击事件回报</x:v>
      </x:c>
      <x:c r="C137" s="3" t="str">
        <x:f>'75张卡牌'!BU15</x:f>
        <x:v>爆发抽牌</x:v>
      </x:c>
      <x:c r="D137" s="3" t="str">
        <x:f>'75张卡牌'!AE15</x:f>
        <x:v>攻防成长／资源代价</x:v>
      </x:c>
    </x:row>
    <x:row r="138" ht="44" customHeight="1">
      <x:c r="A138" s="10" t="str">
        <x:v>时序／使用边界</x:v>
      </x:c>
      <x:c r="B138" s="11" t="str">
        <x:f>'75张卡牌'!AY17</x:f>
        <x:v>敌方减益可被人工制品阻挡；多段攻击按每段触发。</x:v>
      </x:c>
      <x:c r="C138" s="11" t="str">
        <x:f>'75张卡牌'!BU17</x:f>
        <x:v>通常手牌上限为10；实际抽牌数取决于剩余手牌。</x:v>
      </x:c>
      <x:c r="D138" s="11" t="str">
        <x:f>'75张卡牌'!AE17</x:f>
        <x:v>能量惩罚从后续回合生效；需低费牌或补能支持。</x:v>
      </x:c>
    </x:row>
    <x:row r="141" ht="28" customHeight="1">
      <x:c r="A141" s="34" t="str">
        <x:v>04  保留蓄力  ·  1—6 / 14</x:v>
      </x:c>
      <x:c r="B141" s="32"/>
      <x:c r="C141" s="32"/>
      <x:c r="D141" s="32"/>
      <x:c r="E141" s="32"/>
      <x:c r="F141" s="32"/>
      <x:c r="G141" s="32"/>
    </x:row>
    <x:row r="142" ht="30" customHeight="1">
      <x:c r="A142" s="16" t="str">
        <x:v>卡牌名</x:v>
      </x:c>
      <x:c r="B142" s="16" t="str">
        <x:f>'75张卡牌'!BO5</x:f>
        <x:v>确立基础</x:v>
      </x:c>
      <x:c r="C142" s="16" t="str">
        <x:f>'75张卡牌'!AL5</x:f>
        <x:v>冥想</x:v>
      </x:c>
      <x:c r="D142" s="16" t="str">
        <x:f>'75张卡牌'!AT5</x:f>
        <x:v>时之沙</x:v>
      </x:c>
      <x:c r="E142" s="16" t="str">
        <x:f>'75张卡牌'!BE5</x:f>
        <x:v>旋转打击</x:v>
      </x:c>
      <x:c r="F142" s="16" t="str">
        <x:f>'75张卡牌'!AO5</x:f>
        <x:v>坚韧</x:v>
      </x:c>
      <x:c r="G142" s="17" t="str">
        <x:f>'75张卡牌'!U5</x:f>
        <x:v>护身</x:v>
      </x:c>
    </x:row>
    <x:row r="143" ht="28" customHeight="1">
      <x:c r="A143" s="10" t="str">
        <x:v>包内职责 · 分析</x:v>
      </x:c>
      <x:c r="B143" s="35" t="str">
        <x:v>核心组件</x:v>
      </x:c>
      <x:c r="C143" s="35" t="str">
        <x:v>核心组件</x:v>
      </x:c>
      <x:c r="D143" s="35" t="str">
        <x:v>核心组件</x:v>
      </x:c>
      <x:c r="E143" s="35" t="str">
        <x:v>核心组件</x:v>
      </x:c>
      <x:c r="F143" s="35" t="str">
        <x:v>核心组件</x:v>
      </x:c>
      <x:c r="G143" s="35" t="str">
        <x:v>核心组件</x:v>
      </x:c>
    </x:row>
    <x:row r="144" ht="28" customHeight="1">
      <x:c r="A144" s="10" t="str">
        <x:v>英文名</x:v>
      </x:c>
      <x:c r="B144" s="3" t="str">
        <x:f>'75张卡牌'!BO6</x:f>
        <x:v>Establishment</x:v>
      </x:c>
      <x:c r="C144" s="3" t="str">
        <x:f>'75张卡牌'!AL6</x:f>
        <x:v>Meditate</x:v>
      </x:c>
      <x:c r="D144" s="3" t="str">
        <x:f>'75张卡牌'!AT6</x:f>
        <x:v>Sands of Time</x:v>
      </x:c>
      <x:c r="E144" s="3" t="str">
        <x:f>'75张卡牌'!BE6</x:f>
        <x:v>Windmill Strike</x:v>
      </x:c>
      <x:c r="F144" s="3" t="str">
        <x:f>'75张卡牌'!AO6</x:f>
        <x:v>Perseverance</x:v>
      </x:c>
      <x:c r="G144" s="3" t="str">
        <x:f>'75张卡牌'!U6</x:f>
        <x:v>Protect</x:v>
      </x:c>
    </x:row>
    <x:row r="145" ht="28" customHeight="1">
      <x:c r="A145" s="10" t="str">
        <x:v>类型／稀有度</x:v>
      </x:c>
      <x:c r="B145" s="11" t="str">
        <x:v>能力 / 稀有</x:v>
      </x:c>
      <x:c r="C145" s="11" t="str">
        <x:v>技能 / 罕见</x:v>
      </x:c>
      <x:c r="D145" s="11" t="str">
        <x:v>攻击 / 罕见</x:v>
      </x:c>
      <x:c r="E145" s="11" t="str">
        <x:v>攻击 / 罕见</x:v>
      </x:c>
      <x:c r="F145" s="11" t="str">
        <x:v>技能 / 罕见</x:v>
      </x:c>
      <x:c r="G145" s="11" t="str">
        <x:v>技能 / 普通</x:v>
      </x:c>
    </x:row>
    <x:row r="146" ht="28" customHeight="1">
      <x:c r="A146" s="10" t="str">
        <x:v>费用 · 基础</x:v>
      </x:c>
      <x:c r="B146" s="20" t="n">
        <x:f>'75张卡牌'!BO9</x:f>
        <x:v>1</x:v>
      </x:c>
      <x:c r="C146" s="20" t="n">
        <x:f>'75张卡牌'!AL9</x:f>
        <x:v>1</x:v>
      </x:c>
      <x:c r="D146" s="20" t="n">
        <x:f>'75张卡牌'!AT9</x:f>
        <x:v>4</x:v>
      </x:c>
      <x:c r="E146" s="20" t="n">
        <x:f>'75张卡牌'!BE9</x:f>
        <x:v>2</x:v>
      </x:c>
      <x:c r="F146" s="20" t="n">
        <x:f>'75张卡牌'!AO9</x:f>
        <x:v>1</x:v>
      </x:c>
      <x:c r="G146" s="20" t="n">
        <x:f>'75张卡牌'!U9</x:f>
        <x:v>2</x:v>
      </x:c>
    </x:row>
    <x:row r="147" ht="28" customHeight="1">
      <x:c r="A147" s="10" t="str">
        <x:v>费用 · 升级</x:v>
      </x:c>
      <x:c r="B147" s="21" t="n">
        <x:f>'75张卡牌'!BO10</x:f>
        <x:v>1</x:v>
      </x:c>
      <x:c r="C147" s="21" t="n">
        <x:f>'75张卡牌'!AL10</x:f>
        <x:v>1</x:v>
      </x:c>
      <x:c r="D147" s="21" t="n">
        <x:f>'75张卡牌'!AT10</x:f>
        <x:v>4</x:v>
      </x:c>
      <x:c r="E147" s="21" t="n">
        <x:f>'75张卡牌'!BE10</x:f>
        <x:v>2</x:v>
      </x:c>
      <x:c r="F147" s="21" t="n">
        <x:f>'75张卡牌'!AO10</x:f>
        <x:v>1</x:v>
      </x:c>
      <x:c r="G147" s="21" t="n">
        <x:f>'75张卡牌'!U10</x:f>
        <x:v>2</x:v>
      </x:c>
    </x:row>
    <x:row r="148" ht="44" customHeight="1">
      <x:c r="A148" s="10" t="str">
        <x:v>基础效果</x:v>
      </x:c>
      <x:c r="B148" s="3" t="str">
        <x:f>'75张卡牌'!BO11</x:f>
        <x:v>每当一张牌被保留，该牌费用在本场战斗中降低1。</x:v>
      </x:c>
      <x:c r="C148" s="3" t="str">
        <x:f>'75张卡牌'!AL11</x:f>
        <x:v>从弃牌堆选1张牌放入手牌并保留；进入平静；结束回合。</x:v>
      </x:c>
      <x:c r="D148" s="3" t="str">
        <x:f>'75张卡牌'!AT11</x:f>
        <x:v>保留。对单个敌人造成20点伤害；每次此牌被保留，费用降低1。</x:v>
      </x:c>
      <x:c r="E148" s="3" t="str">
        <x:f>'75张卡牌'!BE11</x:f>
        <x:v>保留。对单个敌人造成7点伤害；每次此牌被保留，其伤害增加4。</x:v>
      </x:c>
      <x:c r="F148" s="3" t="str">
        <x:f>'75张卡牌'!AO11</x:f>
        <x:v>保留。获得5点格挡；每次此牌被保留，其格挡增加2。</x:v>
      </x:c>
      <x:c r="G148" s="3" t="str">
        <x:f>'75张卡牌'!U11</x:f>
        <x:v>保留。获得12点格挡。</x:v>
      </x:c>
    </x:row>
    <x:row r="149" ht="44" customHeight="1">
      <x:c r="A149" s="10" t="str">
        <x:v>升级后完整效果</x:v>
      </x:c>
      <x:c r="B149" s="11" t="str">
        <x:f>'75张卡牌'!BO12</x:f>
        <x:v>固有。每当一张牌被保留，该牌费用在本场战斗中降低1。</x:v>
      </x:c>
      <x:c r="C149" s="11" t="str">
        <x:f>'75张卡牌'!AL12</x:f>
        <x:v>从弃牌堆选2张牌放入手牌并保留；进入平静；结束回合。</x:v>
      </x:c>
      <x:c r="D149" s="11" t="str">
        <x:f>'75张卡牌'!AT12</x:f>
        <x:v>保留。对单个敌人造成26点伤害；每次此牌被保留，费用降低1。</x:v>
      </x:c>
      <x:c r="E149" s="11" t="str">
        <x:f>'75张卡牌'!BE12</x:f>
        <x:v>保留。对单个敌人造成10点伤害；每次此牌被保留，其伤害增加5。</x:v>
      </x:c>
      <x:c r="F149" s="11" t="str">
        <x:f>'75张卡牌'!AO12</x:f>
        <x:v>保留。获得7点格挡；每次此牌被保留，其格挡增加3。</x:v>
      </x:c>
      <x:c r="G149" s="11" t="str">
        <x:f>'75张卡牌'!U12</x:f>
        <x:v>保留。获得16点格挡。</x:v>
      </x:c>
    </x:row>
    <x:row r="150" ht="28" customHeight="1">
      <x:c r="A150" s="22" t="str">
        <x:v>升级改动</x:v>
      </x:c>
      <x:c r="B150" s="23" t="str">
        <x:f>'75张卡牌'!BO13</x:f>
        <x:v>新增固有</x:v>
      </x:c>
      <x:c r="C150" s="23" t="str">
        <x:f>'75张卡牌'!AL13</x:f>
        <x:v>回收1→2张</x:v>
      </x:c>
      <x:c r="D150" s="23" t="str">
        <x:f>'75张卡牌'!AT13</x:f>
        <x:v>伤害20→26</x:v>
      </x:c>
      <x:c r="E150" s="23" t="str">
        <x:f>'75张卡牌'!BE13</x:f>
        <x:v>基础伤害7→10；每次增长4→5</x:v>
      </x:c>
      <x:c r="F150" s="23" t="str">
        <x:f>'75张卡牌'!AO13</x:f>
        <x:v>基础格挡5→7；每次增长2→3</x:v>
      </x:c>
      <x:c r="G150" s="23" t="str">
        <x:f>'75张卡牌'!U13</x:f>
        <x:v>格挡12→16</x:v>
      </x:c>
    </x:row>
    <x:row r="151" ht="28" customHeight="1">
      <x:c r="A151" s="10" t="str">
        <x:v>关键词 · 基础</x:v>
      </x:c>
      <x:c r="B151" s="11" t="str">
        <x:f>'75张卡牌'!BO14</x:f>
        <x:v>保留</x:v>
      </x:c>
      <x:c r="C151" s="11" t="str">
        <x:f>'75张卡牌'!AL14</x:f>
        <x:v>保留、平静</x:v>
      </x:c>
      <x:c r="D151" s="11" t="str">
        <x:f>'75张卡牌'!AT14</x:f>
        <x:v>保留</x:v>
      </x:c>
      <x:c r="E151" s="11" t="str">
        <x:f>'75张卡牌'!BE14</x:f>
        <x:v>保留</x:v>
      </x:c>
      <x:c r="F151" s="11" t="str">
        <x:f>'75张卡牌'!AO14</x:f>
        <x:v>保留</x:v>
      </x:c>
      <x:c r="G151" s="11" t="str">
        <x:f>'75张卡牌'!U14</x:f>
        <x:v>保留</x:v>
      </x:c>
    </x:row>
    <x:row r="152" ht="28" customHeight="1">
      <x:c r="A152" s="10" t="str">
        <x:v>设计职责 · 分析</x:v>
      </x:c>
      <x:c r="B152" s="3" t="str">
        <x:f>'75张卡牌'!BO15</x:f>
        <x:v>保留回报／降费</x:v>
      </x:c>
      <x:c r="C152" s="3" t="str">
        <x:f>'75张卡牌'!AL15</x:f>
        <x:v>定向回收／保留／姿态入口</x:v>
      </x:c>
      <x:c r="D152" s="3" t="str">
        <x:f>'75张卡牌'!AT15</x:f>
        <x:v>保留降费输出</x:v>
      </x:c>
      <x:c r="E152" s="3" t="str">
        <x:f>'75张卡牌'!BE15</x:f>
        <x:v>保留成长输出</x:v>
      </x:c>
      <x:c r="F152" s="3" t="str">
        <x:f>'75张卡牌'!AO15</x:f>
        <x:v>保留成长防御</x:v>
      </x:c>
      <x:c r="G152" s="3" t="str">
        <x:f>'75张卡牌'!U15</x:f>
        <x:v>可储存防御</x:v>
      </x:c>
    </x:row>
    <x:row r="153" ht="44" customHeight="1">
      <x:c r="A153" s="10" t="str">
        <x:v>时序／使用边界</x:v>
      </x:c>
      <x:c r="B153" s="11" t="str">
        <x:f>'75张卡牌'!BO17</x:f>
        <x:v>普通费用最低为0；保留事件才触发，单纯停在手中不等于结算保留。</x:v>
      </x:c>
      <x:c r="C153" s="11" t="str">
        <x:f>'75张卡牌'!AL17</x:f>
        <x:v>赋予该次回合结束的保留，不是永久增加保留关键词。</x:v>
      </x:c>
      <x:c r="D153" s="11" t="str">
        <x:f>'75张卡牌'!AT17</x:f>
        <x:v>初始费用仍为4；保留后才逐步降费。</x:v>
      </x:c>
      <x:c r="E153" s="11" t="str">
        <x:f>'75张卡牌'!BE17</x:f>
        <x:v>保留次数累积成长，不是按经过任意回合数成长。</x:v>
      </x:c>
      <x:c r="F153" s="11" t="str">
        <x:f>'75张卡牌'!AO17</x:f>
        <x:v>成长在保留结算时发生；本战斗内持续。</x:v>
      </x:c>
      <x:c r="G153" s="11" t="str">
        <x:f>'75张卡牌'!U17</x:f>
        <x:v>用于把防御留给威胁较高的回合。</x:v>
      </x:c>
    </x:row>
    <x:row r="156" ht="28" customHeight="1">
      <x:c r="A156" s="34" t="str">
        <x:v>04  保留蓄力  ·  7—12 / 14</x:v>
      </x:c>
      <x:c r="B156" s="32"/>
      <x:c r="C156" s="32"/>
      <x:c r="D156" s="32"/>
      <x:c r="E156" s="32"/>
      <x:c r="F156" s="32"/>
      <x:c r="G156" s="32"/>
    </x:row>
    <x:row r="157" ht="30" customHeight="1">
      <x:c r="A157" s="16" t="str">
        <x:v>卡牌名</x:v>
      </x:c>
      <x:c r="B157" s="16" t="str">
        <x:f>'75张卡牌'!O5</x:f>
        <x:v>流云飞袖</x:v>
      </x:c>
      <x:c r="C157" s="16" t="str">
        <x:f>'75张卡牌'!H5</x:f>
        <x:v>渐强</x:v>
      </x:c>
      <x:c r="D157" s="16" t="str">
        <x:f>'75张卡牌'!X5</x:f>
        <x:v>安宁</x:v>
      </x:c>
      <x:c r="E157" s="16" t="str">
        <x:f>'75张卡牌'!BF5</x:f>
        <x:v>敬拜</x:v>
      </x:c>
      <x:c r="F157" s="16" t="str">
        <x:f>'75张卡牌'!BV5</x:f>
        <x:v>精神护盾</x:v>
      </x:c>
      <x:c r="G157" s="17" t="str">
        <x:f>'75张卡牌'!Y5</x:f>
        <x:v>战歌</x:v>
      </x:c>
    </x:row>
    <x:row r="158" ht="28" customHeight="1">
      <x:c r="A158" s="10" t="str">
        <x:v>包内职责 · 分析</x:v>
      </x:c>
      <x:c r="B158" s="35" t="str">
        <x:v>可选补件</x:v>
      </x:c>
      <x:c r="C158" s="35" t="str">
        <x:v>可选补件</x:v>
      </x:c>
      <x:c r="D158" s="35" t="str">
        <x:v>可选补件</x:v>
      </x:c>
      <x:c r="E158" s="35" t="str">
        <x:v>可选补件</x:v>
      </x:c>
      <x:c r="F158" s="35" t="str">
        <x:v>可选补件</x:v>
      </x:c>
      <x:c r="G158" s="35" t="str">
        <x:v>可选补件</x:v>
      </x:c>
    </x:row>
    <x:row r="159" ht="28" customHeight="1">
      <x:c r="A159" s="10" t="str">
        <x:v>英文名</x:v>
      </x:c>
      <x:c r="B159" s="3" t="str">
        <x:f>'75张卡牌'!O6</x:f>
        <x:v>Flying Sleeves</x:v>
      </x:c>
      <x:c r="C159" s="3" t="str">
        <x:f>'75张卡牌'!H6</x:f>
        <x:v>Crescendo</x:v>
      </x:c>
      <x:c r="D159" s="3" t="str">
        <x:f>'75张卡牌'!X6</x:f>
        <x:v>Tranquility</x:v>
      </x:c>
      <x:c r="E159" s="3" t="str">
        <x:f>'75张卡牌'!BF6</x:f>
        <x:v>Worship</x:v>
      </x:c>
      <x:c r="F159" s="3" t="str">
        <x:f>'75张卡牌'!BV6</x:f>
        <x:v>Spirit Shield</x:v>
      </x:c>
      <x:c r="G159" s="3" t="str">
        <x:f>'75张卡牌'!Y6</x:f>
        <x:v>Battle Hymn</x:v>
      </x:c>
    </x:row>
    <x:row r="160" ht="28" customHeight="1">
      <x:c r="A160" s="10" t="str">
        <x:v>类型／稀有度</x:v>
      </x:c>
      <x:c r="B160" s="11" t="str">
        <x:v>攻击 / 普通</x:v>
      </x:c>
      <x:c r="C160" s="11" t="str">
        <x:v>技能 / 普通</x:v>
      </x:c>
      <x:c r="D160" s="11" t="str">
        <x:v>技能 / 普通</x:v>
      </x:c>
      <x:c r="E160" s="11" t="str">
        <x:v>技能 / 罕见</x:v>
      </x:c>
      <x:c r="F160" s="11" t="str">
        <x:v>技能 / 稀有</x:v>
      </x:c>
      <x:c r="G160" s="11" t="str">
        <x:v>能力 / 罕见</x:v>
      </x:c>
    </x:row>
    <x:row r="161" ht="28" customHeight="1">
      <x:c r="A161" s="10" t="str">
        <x:v>费用 · 基础</x:v>
      </x:c>
      <x:c r="B161" s="20" t="n">
        <x:f>'75张卡牌'!O9</x:f>
        <x:v>1</x:v>
      </x:c>
      <x:c r="C161" s="20" t="n">
        <x:f>'75张卡牌'!H9</x:f>
        <x:v>1</x:v>
      </x:c>
      <x:c r="D161" s="20" t="n">
        <x:f>'75张卡牌'!X9</x:f>
        <x:v>1</x:v>
      </x:c>
      <x:c r="E161" s="20" t="n">
        <x:f>'75张卡牌'!BF9</x:f>
        <x:v>2</x:v>
      </x:c>
      <x:c r="F161" s="20" t="n">
        <x:f>'75张卡牌'!BV9</x:f>
        <x:v>2</x:v>
      </x:c>
      <x:c r="G161" s="20" t="n">
        <x:f>'75张卡牌'!Y9</x:f>
        <x:v>1</x:v>
      </x:c>
    </x:row>
    <x:row r="162" ht="28" customHeight="1">
      <x:c r="A162" s="10" t="str">
        <x:v>费用 · 升级</x:v>
      </x:c>
      <x:c r="B162" s="21" t="n">
        <x:f>'75张卡牌'!O10</x:f>
        <x:v>1</x:v>
      </x:c>
      <x:c r="C162" s="21" t="n">
        <x:f>'75张卡牌'!H10</x:f>
        <x:v>0</x:v>
      </x:c>
      <x:c r="D162" s="21" t="n">
        <x:f>'75张卡牌'!X10</x:f>
        <x:v>0</x:v>
      </x:c>
      <x:c r="E162" s="21" t="n">
        <x:f>'75张卡牌'!BF10</x:f>
        <x:v>2</x:v>
      </x:c>
      <x:c r="F162" s="21" t="n">
        <x:f>'75张卡牌'!BV10</x:f>
        <x:v>2</x:v>
      </x:c>
      <x:c r="G162" s="21" t="n">
        <x:f>'75张卡牌'!Y10</x:f>
        <x:v>1</x:v>
      </x:c>
    </x:row>
    <x:row r="163" ht="44" customHeight="1">
      <x:c r="A163" s="10" t="str">
        <x:v>基础效果</x:v>
      </x:c>
      <x:c r="B163" s="3" t="str">
        <x:f>'75张卡牌'!O11</x:f>
        <x:v>保留。对单个敌人造成4点伤害，重复2次。</x:v>
      </x:c>
      <x:c r="C163" s="3" t="str">
        <x:f>'75张卡牌'!H11</x:f>
        <x:v>保留。进入愤怒。消耗。</x:v>
      </x:c>
      <x:c r="D163" s="3" t="str">
        <x:f>'75张卡牌'!X11</x:f>
        <x:v>保留。进入平静。消耗。</x:v>
      </x:c>
      <x:c r="E163" s="3" t="str">
        <x:f>'75张卡牌'!BF11</x:f>
        <x:v>获得5层真言。</x:v>
      </x:c>
      <x:c r="F163" s="3" t="str">
        <x:f>'75张卡牌'!BV11</x:f>
        <x:v>手牌中每有1张牌，就获得3点格挡。</x:v>
      </x:c>
      <x:c r="G163" s="3" t="str">
        <x:f>'75张卡牌'!Y11</x:f>
        <x:v>每回合开始时，将1张惩恶加入手牌。</x:v>
      </x:c>
    </x:row>
    <x:row r="164" ht="44" customHeight="1">
      <x:c r="A164" s="10" t="str">
        <x:v>升级后完整效果</x:v>
      </x:c>
      <x:c r="B164" s="11" t="str">
        <x:f>'75张卡牌'!O12</x:f>
        <x:v>保留。对单个敌人造成6点伤害，重复2次。</x:v>
      </x:c>
      <x:c r="C164" s="11" t="str">
        <x:f>'75张卡牌'!H12</x:f>
        <x:v>保留。进入愤怒。消耗。</x:v>
      </x:c>
      <x:c r="D164" s="11" t="str">
        <x:f>'75张卡牌'!X12</x:f>
        <x:v>保留。进入平静。消耗。</x:v>
      </x:c>
      <x:c r="E164" s="11" t="str">
        <x:f>'75张卡牌'!BF12</x:f>
        <x:v>保留。获得5层真言。</x:v>
      </x:c>
      <x:c r="F164" s="11" t="str">
        <x:f>'75张卡牌'!BV12</x:f>
        <x:v>手牌中每有1张牌，就获得4点格挡。</x:v>
      </x:c>
      <x:c r="G164" s="11" t="str">
        <x:f>'75张卡牌'!Y12</x:f>
        <x:v>固有。每回合开始时，将1张惩恶加入手牌。</x:v>
      </x:c>
    </x:row>
    <x:row r="165" ht="28" customHeight="1">
      <x:c r="A165" s="22" t="str">
        <x:v>升级改动</x:v>
      </x:c>
      <x:c r="B165" s="23" t="str">
        <x:f>'75张卡牌'!O13</x:f>
        <x:v>每击伤害4→6</x:v>
      </x:c>
      <x:c r="C165" s="23" t="str">
        <x:f>'75张卡牌'!H13</x:f>
        <x:v>费用1→0</x:v>
      </x:c>
      <x:c r="D165" s="23" t="str">
        <x:f>'75张卡牌'!X13</x:f>
        <x:v>费用1→0</x:v>
      </x:c>
      <x:c r="E165" s="23" t="str">
        <x:f>'75张卡牌'!BF13</x:f>
        <x:v>新增保留</x:v>
      </x:c>
      <x:c r="F165" s="23" t="str">
        <x:f>'75张卡牌'!BV13</x:f>
        <x:v>每张格挡3→4</x:v>
      </x:c>
      <x:c r="G165" s="23" t="str">
        <x:f>'75张卡牌'!Y13</x:f>
        <x:v>新增固有</x:v>
      </x:c>
    </x:row>
    <x:row r="166" ht="28" customHeight="1">
      <x:c r="A166" s="10" t="str">
        <x:v>关键词 · 基础</x:v>
      </x:c>
      <x:c r="B166" s="11" t="str">
        <x:f>'75张卡牌'!O14</x:f>
        <x:v>保留</x:v>
      </x:c>
      <x:c r="C166" s="11" t="str">
        <x:f>'75张卡牌'!H14</x:f>
        <x:v>保留、消耗、愤怒</x:v>
      </x:c>
      <x:c r="D166" s="11" t="str">
        <x:f>'75张卡牌'!X14</x:f>
        <x:v>保留、消耗、平静</x:v>
      </x:c>
      <x:c r="E166" s="11" t="str">
        <x:f>'75张卡牌'!BF14</x:f>
        <x:v>真言</x:v>
      </x:c>
      <x:c r="F166" s="11" t="str">
        <x:f>'75张卡牌'!BV14</x:f>
        <x:v>—</x:v>
      </x:c>
      <x:c r="G166" s="11" t="str">
        <x:f>'75张卡牌'!Y14</x:f>
        <x:v>—</x:v>
      </x:c>
    </x:row>
    <x:row r="167" ht="28" customHeight="1">
      <x:c r="A167" s="10" t="str">
        <x:v>设计职责 · 分析</x:v>
      </x:c>
      <x:c r="B167" s="3" t="str">
        <x:f>'75张卡牌'!O15</x:f>
        <x:v>保留／多段输出</x:v>
      </x:c>
      <x:c r="C167" s="3" t="str">
        <x:f>'75张卡牌'!H15</x:f>
        <x:v>可保留姿态入口</x:v>
      </x:c>
      <x:c r="D167" s="3" t="str">
        <x:f>'75张卡牌'!X15</x:f>
        <x:v>可保留姿态入口</x:v>
      </x:c>
      <x:c r="E167" s="3" t="str">
        <x:f>'75张卡牌'!BF15</x:f>
        <x:v>阈值资源</x:v>
      </x:c>
      <x:c r="F167" s="3" t="str">
        <x:f>'75张卡牌'!BV15</x:f>
        <x:v>手牌数量转防御</x:v>
      </x:c>
      <x:c r="G167" s="3" t="str">
        <x:f>'75张卡牌'!Y15</x:f>
        <x:v>持续生成输出</x:v>
      </x:c>
    </x:row>
    <x:row r="168" ht="44" customHeight="1">
      <x:c r="A168" s="10" t="str">
        <x:v>时序／使用边界</x:v>
      </x:c>
      <x:c r="B168" s="11" t="str">
        <x:f>'75张卡牌'!O17</x:f>
        <x:v>总基础伤害8→12；力量按两次攻击结算。</x:v>
      </x:c>
      <x:c r="C168" s="11" t="str">
        <x:f>'75张卡牌'!H17</x:f>
        <x:v>一次性入口；需要退出手段或当回合结束战斗。</x:v>
      </x:c>
      <x:c r="D168" s="11" t="str">
        <x:f>'75张卡牌'!X17</x:f>
        <x:v>可作为愤怒出口，但消耗后不能持续参与循环。</x:v>
      </x:c>
      <x:c r="E168" s="11" t="str">
        <x:f>'75张卡牌'!BF17</x:f>
        <x:v>升级不增加真言；改善神格触发的可控性。</x:v>
      </x:c>
      <x:c r="F168" s="11" t="str">
        <x:f>'75张卡牌'!BV17</x:f>
        <x:v>结算时不把已打出的精神护盾本身算作剩余手牌。</x:v>
      </x:c>
      <x:c r="G168" s="11" t="str">
        <x:f>'75张卡牌'!Y17</x:f>
        <x:v>不是打出时立刻生成；每回合生成可能挤占手牌。</x:v>
      </x:c>
    </x:row>
    <x:row r="171" ht="28" customHeight="1">
      <x:c r="A171" s="34" t="str">
        <x:v>04  保留蓄力  ·  13—14 / 14</x:v>
      </x:c>
      <x:c r="B171" s="32"/>
      <x:c r="C171" s="32"/>
      <x:c r="D171" s="32"/>
      <x:c r="E171" s="32"/>
      <x:c r="F171" s="32"/>
      <x:c r="G171" s="32"/>
    </x:row>
    <x:row r="172" ht="30" customHeight="1">
      <x:c r="A172" s="16" t="str">
        <x:v>卡牌名</x:v>
      </x:c>
      <x:c r="B172" s="16" t="str">
        <x:f>'75张卡牌'!AC5</x:f>
        <x:v>欺瞒现实</x:v>
      </x:c>
      <x:c r="C172" s="17" t="str">
        <x:f>'75张卡牌'!AQ5</x:f>
        <x:v>立地升天</x:v>
      </x:c>
    </x:row>
    <x:row r="173" ht="28" customHeight="1">
      <x:c r="A173" s="10" t="str">
        <x:v>包内职责 · 分析</x:v>
      </x:c>
      <x:c r="B173" s="35" t="str">
        <x:v>可选补件</x:v>
      </x:c>
      <x:c r="C173" s="35" t="str">
        <x:v>可选补件</x:v>
      </x:c>
    </x:row>
    <x:row r="174" ht="28" customHeight="1">
      <x:c r="A174" s="10" t="str">
        <x:v>英文名</x:v>
      </x:c>
      <x:c r="B174" s="3" t="str">
        <x:f>'75张卡牌'!AC6</x:f>
        <x:v>Deceive Reality</x:v>
      </x:c>
      <x:c r="C174" s="3" t="str">
        <x:f>'75张卡牌'!AQ6</x:f>
        <x:v>Reach Heaven</x:v>
      </x:c>
    </x:row>
    <x:row r="175" ht="28" customHeight="1">
      <x:c r="A175" s="10" t="str">
        <x:v>类型／稀有度</x:v>
      </x:c>
      <x:c r="B175" s="11" t="str">
        <x:v>技能 / 罕见</x:v>
      </x:c>
      <x:c r="C175" s="11" t="str">
        <x:v>攻击 / 罕见</x:v>
      </x:c>
    </x:row>
    <x:row r="176" ht="28" customHeight="1">
      <x:c r="A176" s="10" t="str">
        <x:v>费用 · 基础</x:v>
      </x:c>
      <x:c r="B176" s="20" t="n">
        <x:f>'75张卡牌'!AC9</x:f>
        <x:v>1</x:v>
      </x:c>
      <x:c r="C176" s="20" t="n">
        <x:f>'75张卡牌'!AQ9</x:f>
        <x:v>2</x:v>
      </x:c>
    </x:row>
    <x:row r="177" ht="28" customHeight="1">
      <x:c r="A177" s="10" t="str">
        <x:v>费用 · 升级</x:v>
      </x:c>
      <x:c r="B177" s="21" t="n">
        <x:f>'75张卡牌'!AC10</x:f>
        <x:v>1</x:v>
      </x:c>
      <x:c r="C177" s="21" t="n">
        <x:f>'75张卡牌'!AQ10</x:f>
        <x:v>2</x:v>
      </x:c>
    </x:row>
    <x:row r="178" ht="44" customHeight="1">
      <x:c r="A178" s="10" t="str">
        <x:v>基础效果</x:v>
      </x:c>
      <x:c r="B178" s="3" t="str">
        <x:f>'75张卡牌'!AC11</x:f>
        <x:v>获得4点格挡；将1张平安加入手牌。</x:v>
      </x:c>
      <x:c r="C178" s="3" t="str">
        <x:f>'75张卡牌'!AQ11</x:f>
        <x:v>对单个敌人造成10点伤害；将1张以暴易暴洗入抽牌堆。</x:v>
      </x:c>
    </x:row>
    <x:row r="179" ht="44" customHeight="1">
      <x:c r="A179" s="10" t="str">
        <x:v>升级后完整效果</x:v>
      </x:c>
      <x:c r="B179" s="11" t="str">
        <x:f>'75张卡牌'!AC12</x:f>
        <x:v>获得7点格挡；将1张平安加入手牌。</x:v>
      </x:c>
      <x:c r="C179" s="11" t="str">
        <x:f>'75张卡牌'!AQ12</x:f>
        <x:v>对单个敌人造成15点伤害；将1张以暴易暴洗入抽牌堆。</x:v>
      </x:c>
    </x:row>
    <x:row r="180" ht="28" customHeight="1">
      <x:c r="A180" s="22" t="str">
        <x:v>升级改动</x:v>
      </x:c>
      <x:c r="B180" s="23" t="str">
        <x:f>'75张卡牌'!AC13</x:f>
        <x:v>格挡4→7</x:v>
      </x:c>
      <x:c r="C180" s="23" t="str">
        <x:f>'75张卡牌'!AQ13</x:f>
        <x:v>伤害10→15</x:v>
      </x:c>
    </x:row>
    <x:row r="181" ht="28" customHeight="1">
      <x:c r="A181" s="10" t="str">
        <x:v>关键词 · 基础</x:v>
      </x:c>
      <x:c r="B181" s="11" t="str">
        <x:f>'75张卡牌'!AC14</x:f>
        <x:v>—</x:v>
      </x:c>
      <x:c r="C181" s="11" t="str">
        <x:f>'75张卡牌'!AQ14</x:f>
        <x:v>—</x:v>
      </x:c>
    </x:row>
    <x:row r="182" ht="28" customHeight="1">
      <x:c r="A182" s="10" t="str">
        <x:v>设计职责 · 分析</x:v>
      </x:c>
      <x:c r="B182" s="3" t="str">
        <x:f>'75张卡牌'!AC15</x:f>
        <x:v>分段防御／生成</x:v>
      </x:c>
      <x:c r="C182" s="3" t="str">
        <x:f>'75张卡牌'!AQ15</x:f>
        <x:v>延迟爆发／生成</x:v>
      </x:c>
    </x:row>
    <x:row r="183" ht="44" customHeight="1">
      <x:c r="A183" s="10" t="str">
        <x:v>时序／使用边界</x:v>
      </x:c>
      <x:c r="B183" s="11" t="str">
        <x:f>'75张卡牌'!AC17</x:f>
        <x:v>升级不提高平安等级；第一段即时，第二段可保留。</x:v>
      </x:c>
      <x:c r="C183" s="11" t="str">
        <x:f>'75张卡牌'!AQ17</x:f>
        <x:v>以暴易暴不直接到手；升级母牌不会升级子牌。</x:v>
      </x:c>
    </x:row>
    <x:row r="186" ht="28" customHeight="1">
      <x:c r="A186" s="34" t="str">
        <x:v>05  真言神格  ·  1—6 / 11</x:v>
      </x:c>
      <x:c r="B186" s="32"/>
      <x:c r="C186" s="32"/>
      <x:c r="D186" s="32"/>
      <x:c r="E186" s="32"/>
      <x:c r="F186" s="32"/>
      <x:c r="G186" s="32"/>
    </x:row>
    <x:row r="187" ht="30" customHeight="1">
      <x:c r="A187" s="16" t="str">
        <x:v>卡牌名</x:v>
      </x:c>
      <x:c r="B187" s="16" t="str">
        <x:f>'75张卡牌'!T5</x:f>
        <x:v>五体投地</x:v>
      </x:c>
      <x:c r="C187" s="16" t="str">
        <x:f>'75张卡牌'!AP5</x:f>
        <x:v>祈祷</x:v>
      </x:c>
      <x:c r="D187" s="16" t="str">
        <x:f>'75张卡牌'!BF5</x:f>
        <x:v>敬拜</x:v>
      </x:c>
      <x:c r="E187" s="16" t="str">
        <x:f>'75张卡牌'!BN5</x:f>
        <x:v>虔信</x:v>
      </x:c>
      <x:c r="F187" s="16" t="str">
        <x:f>'75张卡牌'!BJ5</x:f>
        <x:v>光辉</x:v>
      </x:c>
      <x:c r="G187" s="17" t="str">
        <x:f>'75张卡牌'!BI5</x:f>
        <x:v>渎神</x:v>
      </x:c>
    </x:row>
    <x:row r="188" ht="28" customHeight="1">
      <x:c r="A188" s="10" t="str">
        <x:v>包内职责 · 分析</x:v>
      </x:c>
      <x:c r="B188" s="35" t="str">
        <x:v>核心组件</x:v>
      </x:c>
      <x:c r="C188" s="35" t="str">
        <x:v>核心组件</x:v>
      </x:c>
      <x:c r="D188" s="35" t="str">
        <x:v>核心组件</x:v>
      </x:c>
      <x:c r="E188" s="35" t="str">
        <x:v>核心组件</x:v>
      </x:c>
      <x:c r="F188" s="35" t="str">
        <x:v>核心组件</x:v>
      </x:c>
      <x:c r="G188" s="35" t="str">
        <x:v>核心组件</x:v>
      </x:c>
    </x:row>
    <x:row r="189" ht="28" customHeight="1">
      <x:c r="A189" s="10" t="str">
        <x:v>英文名</x:v>
      </x:c>
      <x:c r="B189" s="3" t="str">
        <x:f>'75张卡牌'!T6</x:f>
        <x:v>Prostrate</x:v>
      </x:c>
      <x:c r="C189" s="3" t="str">
        <x:f>'75张卡牌'!AP6</x:f>
        <x:v>Pray</x:v>
      </x:c>
      <x:c r="D189" s="3" t="str">
        <x:f>'75张卡牌'!BF6</x:f>
        <x:v>Worship</x:v>
      </x:c>
      <x:c r="E189" s="3" t="str">
        <x:f>'75张卡牌'!BN6</x:f>
        <x:v>Devotion</x:v>
      </x:c>
      <x:c r="F189" s="3" t="str">
        <x:f>'75张卡牌'!BJ6</x:f>
        <x:v>Brilliance</x:v>
      </x:c>
      <x:c r="G189" s="3" t="str">
        <x:f>'75张卡牌'!BI6</x:f>
        <x:v>Blasphemy</x:v>
      </x:c>
    </x:row>
    <x:row r="190" ht="28" customHeight="1">
      <x:c r="A190" s="10" t="str">
        <x:v>类型／稀有度</x:v>
      </x:c>
      <x:c r="B190" s="11" t="str">
        <x:v>技能 / 普通</x:v>
      </x:c>
      <x:c r="C190" s="11" t="str">
        <x:v>技能 / 罕见</x:v>
      </x:c>
      <x:c r="D190" s="11" t="str">
        <x:v>技能 / 罕见</x:v>
      </x:c>
      <x:c r="E190" s="11" t="str">
        <x:v>能力 / 稀有</x:v>
      </x:c>
      <x:c r="F190" s="11" t="str">
        <x:v>攻击 / 稀有</x:v>
      </x:c>
      <x:c r="G190" s="11" t="str">
        <x:v>技能 / 稀有</x:v>
      </x:c>
    </x:row>
    <x:row r="191" ht="28" customHeight="1">
      <x:c r="A191" s="10" t="str">
        <x:v>费用 · 基础</x:v>
      </x:c>
      <x:c r="B191" s="20" t="n">
        <x:f>'75张卡牌'!T9</x:f>
        <x:v>0</x:v>
      </x:c>
      <x:c r="C191" s="20" t="n">
        <x:f>'75张卡牌'!AP9</x:f>
        <x:v>1</x:v>
      </x:c>
      <x:c r="D191" s="20" t="n">
        <x:f>'75张卡牌'!BF9</x:f>
        <x:v>2</x:v>
      </x:c>
      <x:c r="E191" s="20" t="n">
        <x:f>'75张卡牌'!BN9</x:f>
        <x:v>1</x:v>
      </x:c>
      <x:c r="F191" s="20" t="n">
        <x:f>'75张卡牌'!BJ9</x:f>
        <x:v>1</x:v>
      </x:c>
      <x:c r="G191" s="20" t="n">
        <x:f>'75张卡牌'!BI9</x:f>
        <x:v>1</x:v>
      </x:c>
    </x:row>
    <x:row r="192" ht="28" customHeight="1">
      <x:c r="A192" s="10" t="str">
        <x:v>费用 · 升级</x:v>
      </x:c>
      <x:c r="B192" s="21" t="n">
        <x:f>'75张卡牌'!T10</x:f>
        <x:v>0</x:v>
      </x:c>
      <x:c r="C192" s="21" t="n">
        <x:f>'75张卡牌'!AP10</x:f>
        <x:v>1</x:v>
      </x:c>
      <x:c r="D192" s="21" t="n">
        <x:f>'75张卡牌'!BF10</x:f>
        <x:v>2</x:v>
      </x:c>
      <x:c r="E192" s="21" t="n">
        <x:f>'75张卡牌'!BN10</x:f>
        <x:v>1</x:v>
      </x:c>
      <x:c r="F192" s="21" t="n">
        <x:f>'75张卡牌'!BJ10</x:f>
        <x:v>1</x:v>
      </x:c>
      <x:c r="G192" s="21" t="n">
        <x:f>'75张卡牌'!BI10</x:f>
        <x:v>1</x:v>
      </x:c>
    </x:row>
    <x:row r="193" ht="44" customHeight="1">
      <x:c r="A193" s="10" t="str">
        <x:v>基础效果</x:v>
      </x:c>
      <x:c r="B193" s="3" t="str">
        <x:f>'75张卡牌'!T11</x:f>
        <x:v>获得2层真言；获得4点格挡。</x:v>
      </x:c>
      <x:c r="C193" s="3" t="str">
        <x:f>'75张卡牌'!AP11</x:f>
        <x:v>获得3层真言；将1张洞见洗入抽牌堆。</x:v>
      </x:c>
      <x:c r="D193" s="3" t="str">
        <x:f>'75张卡牌'!BF11</x:f>
        <x:v>获得5层真言。</x:v>
      </x:c>
      <x:c r="E193" s="3" t="str">
        <x:f>'75张卡牌'!BN11</x:f>
        <x:v>每回合开始时获得2层真言。</x:v>
      </x:c>
      <x:c r="F193" s="3" t="str">
        <x:f>'75张卡牌'!BJ11</x:f>
        <x:v>对单个敌人造成12点伤害，额外加上本场战斗累计获得的真言层数。</x:v>
      </x:c>
      <x:c r="G193" s="3" t="str">
        <x:f>'75张卡牌'!BI11</x:f>
        <x:v>进入神格；下回合死亡。消耗。</x:v>
      </x:c>
    </x:row>
    <x:row r="194" ht="44" customHeight="1">
      <x:c r="A194" s="10" t="str">
        <x:v>升级后完整效果</x:v>
      </x:c>
      <x:c r="B194" s="11" t="str">
        <x:f>'75张卡牌'!T12</x:f>
        <x:v>获得3层真言；获得4点格挡。</x:v>
      </x:c>
      <x:c r="C194" s="11" t="str">
        <x:f>'75张卡牌'!AP12</x:f>
        <x:v>获得4层真言；将1张洞见洗入抽牌堆。</x:v>
      </x:c>
      <x:c r="D194" s="11" t="str">
        <x:f>'75张卡牌'!BF12</x:f>
        <x:v>保留。获得5层真言。</x:v>
      </x:c>
      <x:c r="E194" s="11" t="str">
        <x:f>'75张卡牌'!BN12</x:f>
        <x:v>每回合开始时获得3层真言。</x:v>
      </x:c>
      <x:c r="F194" s="11" t="str">
        <x:f>'75张卡牌'!BJ12</x:f>
        <x:v>对单个敌人造成16点伤害，额外加上本场战斗累计获得的真言层数。</x:v>
      </x:c>
      <x:c r="G194" s="11" t="str">
        <x:f>'75张卡牌'!BI12</x:f>
        <x:v>保留。进入神格；下回合死亡。消耗。</x:v>
      </x:c>
    </x:row>
    <x:row r="195" ht="28" customHeight="1">
      <x:c r="A195" s="22" t="str">
        <x:v>升级改动</x:v>
      </x:c>
      <x:c r="B195" s="23" t="str">
        <x:f>'75张卡牌'!T13</x:f>
        <x:v>真言2→3</x:v>
      </x:c>
      <x:c r="C195" s="23" t="str">
        <x:f>'75张卡牌'!AP13</x:f>
        <x:v>真言3→4</x:v>
      </x:c>
      <x:c r="D195" s="23" t="str">
        <x:f>'75张卡牌'!BF13</x:f>
        <x:v>新增保留</x:v>
      </x:c>
      <x:c r="E195" s="23" t="str">
        <x:f>'75张卡牌'!BN13</x:f>
        <x:v>真言2→3</x:v>
      </x:c>
      <x:c r="F195" s="23" t="str">
        <x:f>'75张卡牌'!BJ13</x:f>
        <x:v>基础伤害12→16</x:v>
      </x:c>
      <x:c r="G195" s="23" t="str">
        <x:f>'75张卡牌'!BI13</x:f>
        <x:v>新增保留</x:v>
      </x:c>
    </x:row>
    <x:row r="196" ht="28" customHeight="1">
      <x:c r="A196" s="10" t="str">
        <x:v>关键词 · 基础</x:v>
      </x:c>
      <x:c r="B196" s="11" t="str">
        <x:f>'75张卡牌'!T14</x:f>
        <x:v>真言</x:v>
      </x:c>
      <x:c r="C196" s="11" t="str">
        <x:f>'75张卡牌'!AP14</x:f>
        <x:v>真言</x:v>
      </x:c>
      <x:c r="D196" s="11" t="str">
        <x:f>'75张卡牌'!BF14</x:f>
        <x:v>真言</x:v>
      </x:c>
      <x:c r="E196" s="11" t="str">
        <x:f>'75张卡牌'!BN14</x:f>
        <x:v>真言</x:v>
      </x:c>
      <x:c r="F196" s="11" t="str">
        <x:f>'75张卡牌'!BJ14</x:f>
        <x:v>真言</x:v>
      </x:c>
      <x:c r="G196" s="11" t="str">
        <x:f>'75张卡牌'!BI14</x:f>
        <x:v>消耗、神格</x:v>
      </x:c>
    </x:row>
    <x:row r="197" ht="28" customHeight="1">
      <x:c r="A197" s="10" t="str">
        <x:v>设计职责 · 分析</x:v>
      </x:c>
      <x:c r="B197" s="3" t="str">
        <x:f>'75张卡牌'!T15</x:f>
        <x:v>阈值资源／防御</x:v>
      </x:c>
      <x:c r="C197" s="3" t="str">
        <x:f>'75张卡牌'!AP15</x:f>
        <x:v>阈值资源／生成抽牌</x:v>
      </x:c>
      <x:c r="D197" s="3" t="str">
        <x:f>'75张卡牌'!BF15</x:f>
        <x:v>阈值资源</x:v>
      </x:c>
      <x:c r="E197" s="3" t="str">
        <x:f>'75张卡牌'!BN15</x:f>
        <x:v>持续阈值资源</x:v>
      </x:c>
      <x:c r="F197" s="3" t="str">
        <x:f>'75张卡牌'!BJ15</x:f>
        <x:v>累计资源回报</x:v>
      </x:c>
      <x:c r="G197" s="3" t="str">
        <x:f>'75张卡牌'!BI15</x:f>
        <x:v>高风险爆发入口</x:v>
      </x:c>
    </x:row>
    <x:row r="198" ht="44" customHeight="1">
      <x:c r="A198" s="10" t="str">
        <x:v>时序／使用边界</x:v>
      </x:c>
      <x:c r="B198" s="11" t="str">
        <x:f>'75张卡牌'!T17</x:f>
        <x:v>升级不提高格挡；真言阈值需要跨牌计算。</x:v>
      </x:c>
      <x:c r="C198" s="11" t="str">
        <x:f>'75张卡牌'!AP17</x:f>
        <x:v>升级不提高洞见等级；生成的抽牌有抽到它的延迟。</x:v>
      </x:c>
      <x:c r="D198" s="11" t="str">
        <x:f>'75张卡牌'!BF17</x:f>
        <x:v>升级不增加真言；改善神格触发的可控性。</x:v>
      </x:c>
      <x:c r="E198" s="11" t="str">
        <x:f>'75张卡牌'!BN17</x:f>
        <x:v>打出当下不立即给真言；需要回合推进。</x:v>
      </x:c>
      <x:c r="F198" s="11" t="str">
        <x:f>'75张卡牌'!BJ17</x:f>
        <x:v>读取累计获得量，已消耗的真言仍计入。</x:v>
      </x:c>
      <x:c r="G198" s="11" t="str">
        <x:f>'75张卡牌'!BI17</x:f>
        <x:v>必须把死亡代价纳入计划；与普通真言入神格的代价不同。</x:v>
      </x:c>
    </x:row>
    <x:row r="201" ht="28" customHeight="1">
      <x:c r="A201" s="34" t="str">
        <x:v>05  真言神格  ·  7—11 / 11</x:v>
      </x:c>
      <x:c r="B201" s="32"/>
      <x:c r="C201" s="32"/>
      <x:c r="D201" s="32"/>
      <x:c r="E201" s="32"/>
      <x:c r="F201" s="32"/>
      <x:c r="G201" s="32"/>
    </x:row>
    <x:row r="202" ht="30" customHeight="1">
      <x:c r="A202" s="16" t="str">
        <x:v>卡牌名</x:v>
      </x:c>
      <x:c r="B202" s="16" t="str">
        <x:f>'75张卡牌'!AT5</x:f>
        <x:v>时之沙</x:v>
      </x:c>
      <x:c r="C202" s="16" t="str">
        <x:f>'75张卡牌'!BE5</x:f>
        <x:v>旋转打击</x:v>
      </x:c>
      <x:c r="D202" s="16" t="str">
        <x:f>'75张卡牌'!BT5</x:f>
        <x:v>诸神之黄昏</x:v>
      </x:c>
      <x:c r="E202" s="16" t="str">
        <x:f>'75张卡牌'!AL5</x:f>
        <x:v>冥想</x:v>
      </x:c>
      <x:c r="F202" s="17" t="str">
        <x:f>'75张卡牌'!BU5</x:f>
        <x:v>潦草急就</x:v>
      </x:c>
    </x:row>
    <x:row r="203" ht="28" customHeight="1">
      <x:c r="A203" s="10" t="str">
        <x:v>包内职责 · 分析</x:v>
      </x:c>
      <x:c r="B203" s="35" t="str">
        <x:v>可选补件</x:v>
      </x:c>
      <x:c r="C203" s="35" t="str">
        <x:v>可选补件</x:v>
      </x:c>
      <x:c r="D203" s="35" t="str">
        <x:v>可选补件</x:v>
      </x:c>
      <x:c r="E203" s="35" t="str">
        <x:v>可选补件</x:v>
      </x:c>
      <x:c r="F203" s="35" t="str">
        <x:v>可选补件</x:v>
      </x:c>
    </x:row>
    <x:row r="204" ht="28" customHeight="1">
      <x:c r="A204" s="10" t="str">
        <x:v>英文名</x:v>
      </x:c>
      <x:c r="B204" s="3" t="str">
        <x:f>'75张卡牌'!AT6</x:f>
        <x:v>Sands of Time</x:v>
      </x:c>
      <x:c r="C204" s="3" t="str">
        <x:f>'75张卡牌'!BE6</x:f>
        <x:v>Windmill Strike</x:v>
      </x:c>
      <x:c r="D204" s="3" t="str">
        <x:f>'75张卡牌'!BT6</x:f>
        <x:v>Ragnarok</x:v>
      </x:c>
      <x:c r="E204" s="3" t="str">
        <x:f>'75张卡牌'!AL6</x:f>
        <x:v>Meditate</x:v>
      </x:c>
      <x:c r="F204" s="3" t="str">
        <x:f>'75张卡牌'!BU6</x:f>
        <x:v>Scrawl</x:v>
      </x:c>
    </x:row>
    <x:row r="205" ht="28" customHeight="1">
      <x:c r="A205" s="10" t="str">
        <x:v>类型／稀有度</x:v>
      </x:c>
      <x:c r="B205" s="11" t="str">
        <x:v>攻击 / 罕见</x:v>
      </x:c>
      <x:c r="C205" s="11" t="str">
        <x:v>攻击 / 罕见</x:v>
      </x:c>
      <x:c r="D205" s="11" t="str">
        <x:v>攻击 / 稀有</x:v>
      </x:c>
      <x:c r="E205" s="11" t="str">
        <x:v>技能 / 罕见</x:v>
      </x:c>
      <x:c r="F205" s="11" t="str">
        <x:v>技能 / 稀有</x:v>
      </x:c>
    </x:row>
    <x:row r="206" ht="28" customHeight="1">
      <x:c r="A206" s="10" t="str">
        <x:v>费用 · 基础</x:v>
      </x:c>
      <x:c r="B206" s="20" t="n">
        <x:f>'75张卡牌'!AT9</x:f>
        <x:v>4</x:v>
      </x:c>
      <x:c r="C206" s="20" t="n">
        <x:f>'75张卡牌'!BE9</x:f>
        <x:v>2</x:v>
      </x:c>
      <x:c r="D206" s="20" t="n">
        <x:f>'75张卡牌'!BT9</x:f>
        <x:v>3</x:v>
      </x:c>
      <x:c r="E206" s="20" t="n">
        <x:f>'75张卡牌'!AL9</x:f>
        <x:v>1</x:v>
      </x:c>
      <x:c r="F206" s="20" t="n">
        <x:f>'75张卡牌'!BU9</x:f>
        <x:v>1</x:v>
      </x:c>
    </x:row>
    <x:row r="207" ht="28" customHeight="1">
      <x:c r="A207" s="10" t="str">
        <x:v>费用 · 升级</x:v>
      </x:c>
      <x:c r="B207" s="21" t="n">
        <x:f>'75张卡牌'!AT10</x:f>
        <x:v>4</x:v>
      </x:c>
      <x:c r="C207" s="21" t="n">
        <x:f>'75张卡牌'!BE10</x:f>
        <x:v>2</x:v>
      </x:c>
      <x:c r="D207" s="21" t="n">
        <x:f>'75张卡牌'!BT10</x:f>
        <x:v>3</x:v>
      </x:c>
      <x:c r="E207" s="21" t="n">
        <x:f>'75张卡牌'!AL10</x:f>
        <x:v>1</x:v>
      </x:c>
      <x:c r="F207" s="21" t="n">
        <x:f>'75张卡牌'!BU10</x:f>
        <x:v>0</x:v>
      </x:c>
    </x:row>
    <x:row r="208" ht="44" customHeight="1">
      <x:c r="A208" s="10" t="str">
        <x:v>基础效果</x:v>
      </x:c>
      <x:c r="B208" s="3" t="str">
        <x:f>'75张卡牌'!AT11</x:f>
        <x:v>保留。对单个敌人造成20点伤害；每次此牌被保留，费用降低1。</x:v>
      </x:c>
      <x:c r="C208" s="3" t="str">
        <x:f>'75张卡牌'!BE11</x:f>
        <x:v>保留。对单个敌人造成7点伤害；每次此牌被保留，其伤害增加4。</x:v>
      </x:c>
      <x:c r="D208" s="3" t="str">
        <x:f>'75张卡牌'!BT11</x:f>
        <x:v>随机选择敌人造成5点伤害，重复5次。</x:v>
      </x:c>
      <x:c r="E208" s="3" t="str">
        <x:f>'75张卡牌'!AL11</x:f>
        <x:v>从弃牌堆选1张牌放入手牌并保留；进入平静；结束回合。</x:v>
      </x:c>
      <x:c r="F208" s="3" t="str">
        <x:f>'75张卡牌'!BU11</x:f>
        <x:v>抽牌直到手牌达到上限。消耗。</x:v>
      </x:c>
    </x:row>
    <x:row r="209" ht="44" customHeight="1">
      <x:c r="A209" s="10" t="str">
        <x:v>升级后完整效果</x:v>
      </x:c>
      <x:c r="B209" s="11" t="str">
        <x:f>'75张卡牌'!AT12</x:f>
        <x:v>保留。对单个敌人造成26点伤害；每次此牌被保留，费用降低1。</x:v>
      </x:c>
      <x:c r="C209" s="11" t="str">
        <x:f>'75张卡牌'!BE12</x:f>
        <x:v>保留。对单个敌人造成10点伤害；每次此牌被保留，其伤害增加5。</x:v>
      </x:c>
      <x:c r="D209" s="11" t="str">
        <x:f>'75张卡牌'!BT12</x:f>
        <x:v>随机选择敌人造成6点伤害，重复6次。</x:v>
      </x:c>
      <x:c r="E209" s="11" t="str">
        <x:f>'75张卡牌'!AL12</x:f>
        <x:v>从弃牌堆选2张牌放入手牌并保留；进入平静；结束回合。</x:v>
      </x:c>
      <x:c r="F209" s="11" t="str">
        <x:f>'75张卡牌'!BU12</x:f>
        <x:v>抽牌直到手牌达到上限。消耗。</x:v>
      </x:c>
    </x:row>
    <x:row r="210" ht="28" customHeight="1">
      <x:c r="A210" s="22" t="str">
        <x:v>升级改动</x:v>
      </x:c>
      <x:c r="B210" s="23" t="str">
        <x:f>'75张卡牌'!AT13</x:f>
        <x:v>伤害20→26</x:v>
      </x:c>
      <x:c r="C210" s="23" t="str">
        <x:f>'75张卡牌'!BE13</x:f>
        <x:v>基础伤害7→10；每次增长4→5</x:v>
      </x:c>
      <x:c r="D210" s="23" t="str">
        <x:f>'75张卡牌'!BT13</x:f>
        <x:v>每击5→6；次数5→6</x:v>
      </x:c>
      <x:c r="E210" s="23" t="str">
        <x:f>'75张卡牌'!AL13</x:f>
        <x:v>回收1→2张</x:v>
      </x:c>
      <x:c r="F210" s="23" t="str">
        <x:f>'75张卡牌'!BU13</x:f>
        <x:v>费用1→0</x:v>
      </x:c>
    </x:row>
    <x:row r="211" ht="28" customHeight="1">
      <x:c r="A211" s="10" t="str">
        <x:v>关键词 · 基础</x:v>
      </x:c>
      <x:c r="B211" s="11" t="str">
        <x:f>'75张卡牌'!AT14</x:f>
        <x:v>保留</x:v>
      </x:c>
      <x:c r="C211" s="11" t="str">
        <x:f>'75张卡牌'!BE14</x:f>
        <x:v>保留</x:v>
      </x:c>
      <x:c r="D211" s="11" t="str">
        <x:f>'75张卡牌'!BT14</x:f>
        <x:v>—</x:v>
      </x:c>
      <x:c r="E211" s="11" t="str">
        <x:f>'75张卡牌'!AL14</x:f>
        <x:v>保留、平静</x:v>
      </x:c>
      <x:c r="F211" s="11" t="str">
        <x:f>'75张卡牌'!BU14</x:f>
        <x:v>消耗</x:v>
      </x:c>
    </x:row>
    <x:row r="212" ht="28" customHeight="1">
      <x:c r="A212" s="10" t="str">
        <x:v>设计职责 · 分析</x:v>
      </x:c>
      <x:c r="B212" s="3" t="str">
        <x:f>'75张卡牌'!AT15</x:f>
        <x:v>保留降费输出</x:v>
      </x:c>
      <x:c r="C212" s="3" t="str">
        <x:f>'75张卡牌'!BE15</x:f>
        <x:v>保留成长输出</x:v>
      </x:c>
      <x:c r="D212" s="3" t="str">
        <x:f>'75张卡牌'!BT15</x:f>
        <x:v>多段爆发</x:v>
      </x:c>
      <x:c r="E212" s="3" t="str">
        <x:f>'75张卡牌'!AL15</x:f>
        <x:v>定向回收／保留／姿态入口</x:v>
      </x:c>
      <x:c r="F212" s="3" t="str">
        <x:f>'75张卡牌'!BU15</x:f>
        <x:v>爆发抽牌</x:v>
      </x:c>
    </x:row>
    <x:row r="213" ht="44" customHeight="1">
      <x:c r="A213" s="10" t="str">
        <x:v>时序／使用边界</x:v>
      </x:c>
      <x:c r="B213" s="11" t="str">
        <x:f>'75张卡牌'!AT17</x:f>
        <x:v>初始费用仍为4；保留后才逐步降费。</x:v>
      </x:c>
      <x:c r="C213" s="11" t="str">
        <x:f>'75张卡牌'!BE17</x:f>
        <x:v>保留次数累积成长，不是按经过任意回合数成长。</x:v>
      </x:c>
      <x:c r="D213" s="11" t="str">
        <x:f>'75张卡牌'!BT17</x:f>
        <x:v>总基础伤害25→36；多敌人时可能分散。</x:v>
      </x:c>
      <x:c r="E213" s="11" t="str">
        <x:f>'75张卡牌'!AL17</x:f>
        <x:v>赋予该次回合结束的保留，不是永久增加保留关键词。</x:v>
      </x:c>
      <x:c r="F213" s="11" t="str">
        <x:f>'75张卡牌'!BU17</x:f>
        <x:v>通常手牌上限为10；实际抽牌数取决于剩余手牌。</x:v>
      </x:c>
    </x:row>
    <x:row r="216" ht="28" customHeight="1">
      <x:c r="A216" s="34" t="str">
        <x:v>06  生成升级  ·  1—6 / 13</x:v>
      </x:c>
      <x:c r="B216" s="32"/>
      <x:c r="C216" s="32"/>
      <x:c r="D216" s="32"/>
      <x:c r="E216" s="32"/>
      <x:c r="F216" s="32"/>
      <x:c r="G216" s="32"/>
    </x:row>
    <x:row r="217" ht="30" customHeight="1">
      <x:c r="A217" s="16" t="str">
        <x:v>卡牌名</x:v>
      </x:c>
      <x:c r="B217" s="16" t="str">
        <x:f>'75张卡牌'!BR5</x:f>
        <x:v>操控现实</x:v>
      </x:c>
      <x:c r="C217" s="16" t="str">
        <x:f>'75张卡牌'!Y5</x:f>
        <x:v>战歌</x:v>
      </x:c>
      <x:c r="D217" s="16" t="str">
        <x:f>'75张卡牌'!Z5</x:f>
        <x:v>改造现实</x:v>
      </x:c>
      <x:c r="E217" s="16" t="str">
        <x:f>'75张卡牌'!AC5</x:f>
        <x:v>欺瞒现实</x:v>
      </x:c>
      <x:c r="F217" s="16" t="str">
        <x:f>'75张卡牌'!AQ5</x:f>
        <x:v>立地升天</x:v>
      </x:c>
      <x:c r="G217" s="17" t="str">
        <x:f>'75张卡牌'!M5</x:f>
        <x:v>评估</x:v>
      </x:c>
    </x:row>
    <x:row r="218" ht="28" customHeight="1">
      <x:c r="A218" s="10" t="str">
        <x:v>包内职责 · 分析</x:v>
      </x:c>
      <x:c r="B218" s="35" t="str">
        <x:v>核心组件</x:v>
      </x:c>
      <x:c r="C218" s="35" t="str">
        <x:v>核心组件</x:v>
      </x:c>
      <x:c r="D218" s="35" t="str">
        <x:v>核心组件</x:v>
      </x:c>
      <x:c r="E218" s="35" t="str">
        <x:v>核心组件</x:v>
      </x:c>
      <x:c r="F218" s="35" t="str">
        <x:v>核心组件</x:v>
      </x:c>
      <x:c r="G218" s="35" t="str">
        <x:v>核心组件</x:v>
      </x:c>
    </x:row>
    <x:row r="219" ht="28" customHeight="1">
      <x:c r="A219" s="10" t="str">
        <x:v>英文名</x:v>
      </x:c>
      <x:c r="B219" s="3" t="str">
        <x:f>'75张卡牌'!BR6</x:f>
        <x:v>Master Reality</x:v>
      </x:c>
      <x:c r="C219" s="3" t="str">
        <x:f>'75张卡牌'!Y6</x:f>
        <x:v>Battle Hymn</x:v>
      </x:c>
      <x:c r="D219" s="3" t="str">
        <x:f>'75张卡牌'!Z6</x:f>
        <x:v>Carve Reality</x:v>
      </x:c>
      <x:c r="E219" s="3" t="str">
        <x:f>'75张卡牌'!AC6</x:f>
        <x:v>Deceive Reality</x:v>
      </x:c>
      <x:c r="F219" s="3" t="str">
        <x:f>'75张卡牌'!AQ6</x:f>
        <x:v>Reach Heaven</x:v>
      </x:c>
      <x:c r="G219" s="3" t="str">
        <x:f>'75张卡牌'!M6</x:f>
        <x:v>Evaluate</x:v>
      </x:c>
    </x:row>
    <x:row r="220" ht="28" customHeight="1">
      <x:c r="A220" s="10" t="str">
        <x:v>类型／稀有度</x:v>
      </x:c>
      <x:c r="B220" s="11" t="str">
        <x:v>能力 / 稀有</x:v>
      </x:c>
      <x:c r="C220" s="11" t="str">
        <x:v>能力 / 罕见</x:v>
      </x:c>
      <x:c r="D220" s="11" t="str">
        <x:v>攻击 / 罕见</x:v>
      </x:c>
      <x:c r="E220" s="11" t="str">
        <x:v>技能 / 罕见</x:v>
      </x:c>
      <x:c r="F220" s="11" t="str">
        <x:v>攻击 / 罕见</x:v>
      </x:c>
      <x:c r="G220" s="11" t="str">
        <x:v>技能 / 普通</x:v>
      </x:c>
    </x:row>
    <x:row r="221" ht="28" customHeight="1">
      <x:c r="A221" s="10" t="str">
        <x:v>费用 · 基础</x:v>
      </x:c>
      <x:c r="B221" s="20" t="n">
        <x:f>'75张卡牌'!BR9</x:f>
        <x:v>1</x:v>
      </x:c>
      <x:c r="C221" s="20" t="n">
        <x:f>'75张卡牌'!Y9</x:f>
        <x:v>1</x:v>
      </x:c>
      <x:c r="D221" s="20" t="n">
        <x:f>'75张卡牌'!Z9</x:f>
        <x:v>1</x:v>
      </x:c>
      <x:c r="E221" s="20" t="n">
        <x:f>'75张卡牌'!AC9</x:f>
        <x:v>1</x:v>
      </x:c>
      <x:c r="F221" s="20" t="n">
        <x:f>'75张卡牌'!AQ9</x:f>
        <x:v>2</x:v>
      </x:c>
      <x:c r="G221" s="20" t="n">
        <x:f>'75张卡牌'!M9</x:f>
        <x:v>1</x:v>
      </x:c>
    </x:row>
    <x:row r="222" ht="28" customHeight="1">
      <x:c r="A222" s="10" t="str">
        <x:v>费用 · 升级</x:v>
      </x:c>
      <x:c r="B222" s="21" t="n">
        <x:f>'75张卡牌'!BR10</x:f>
        <x:v>0</x:v>
      </x:c>
      <x:c r="C222" s="21" t="n">
        <x:f>'75张卡牌'!Y10</x:f>
        <x:v>1</x:v>
      </x:c>
      <x:c r="D222" s="21" t="n">
        <x:f>'75张卡牌'!Z10</x:f>
        <x:v>1</x:v>
      </x:c>
      <x:c r="E222" s="21" t="n">
        <x:f>'75张卡牌'!AC10</x:f>
        <x:v>1</x:v>
      </x:c>
      <x:c r="F222" s="21" t="n">
        <x:f>'75张卡牌'!AQ10</x:f>
        <x:v>2</x:v>
      </x:c>
      <x:c r="G222" s="21" t="n">
        <x:f>'75张卡牌'!M10</x:f>
        <x:v>1</x:v>
      </x:c>
    </x:row>
    <x:row r="223" ht="44" customHeight="1">
      <x:c r="A223" s="10" t="str">
        <x:v>基础效果</x:v>
      </x:c>
      <x:c r="B223" s="3" t="str">
        <x:f>'75张卡牌'!BR11</x:f>
        <x:v>战斗中新生成的卡牌获得升级。</x:v>
      </x:c>
      <x:c r="C223" s="3" t="str">
        <x:f>'75张卡牌'!Y11</x:f>
        <x:v>每回合开始时，将1张惩恶加入手牌。</x:v>
      </x:c>
      <x:c r="D223" s="3" t="str">
        <x:f>'75张卡牌'!Z11</x:f>
        <x:v>对单个敌人造成6点伤害；将1张惩恶加入手牌。</x:v>
      </x:c>
      <x:c r="E223" s="3" t="str">
        <x:f>'75张卡牌'!AC11</x:f>
        <x:v>获得4点格挡；将1张平安加入手牌。</x:v>
      </x:c>
      <x:c r="F223" s="3" t="str">
        <x:f>'75张卡牌'!AQ11</x:f>
        <x:v>对单个敌人造成10点伤害；将1张以暴易暴洗入抽牌堆。</x:v>
      </x:c>
      <x:c r="G223" s="3" t="str">
        <x:f>'75张卡牌'!M11</x:f>
        <x:v>获得6点格挡；将1张洞见洗入抽牌堆。</x:v>
      </x:c>
    </x:row>
    <x:row r="224" ht="44" customHeight="1">
      <x:c r="A224" s="10" t="str">
        <x:v>升级后完整效果</x:v>
      </x:c>
      <x:c r="B224" s="11" t="str">
        <x:f>'75张卡牌'!BR12</x:f>
        <x:v>战斗中新生成的卡牌获得升级。</x:v>
      </x:c>
      <x:c r="C224" s="11" t="str">
        <x:f>'75张卡牌'!Y12</x:f>
        <x:v>固有。每回合开始时，将1张惩恶加入手牌。</x:v>
      </x:c>
      <x:c r="D224" s="11" t="str">
        <x:f>'75张卡牌'!Z12</x:f>
        <x:v>对单个敌人造成10点伤害；将1张惩恶加入手牌。</x:v>
      </x:c>
      <x:c r="E224" s="11" t="str">
        <x:f>'75张卡牌'!AC12</x:f>
        <x:v>获得7点格挡；将1张平安加入手牌。</x:v>
      </x:c>
      <x:c r="F224" s="11" t="str">
        <x:f>'75张卡牌'!AQ12</x:f>
        <x:v>对单个敌人造成15点伤害；将1张以暴易暴洗入抽牌堆。</x:v>
      </x:c>
      <x:c r="G224" s="11" t="str">
        <x:f>'75张卡牌'!M12</x:f>
        <x:v>获得10点格挡；将1张洞见洗入抽牌堆。</x:v>
      </x:c>
    </x:row>
    <x:row r="225" ht="28" customHeight="1">
      <x:c r="A225" s="22" t="str">
        <x:v>升级改动</x:v>
      </x:c>
      <x:c r="B225" s="23" t="str">
        <x:f>'75张卡牌'!BR13</x:f>
        <x:v>费用1→0</x:v>
      </x:c>
      <x:c r="C225" s="23" t="str">
        <x:f>'75张卡牌'!Y13</x:f>
        <x:v>新增固有</x:v>
      </x:c>
      <x:c r="D225" s="23" t="str">
        <x:f>'75张卡牌'!Z13</x:f>
        <x:v>伤害6→10</x:v>
      </x:c>
      <x:c r="E225" s="23" t="str">
        <x:f>'75张卡牌'!AC13</x:f>
        <x:v>格挡4→7</x:v>
      </x:c>
      <x:c r="F225" s="23" t="str">
        <x:f>'75张卡牌'!AQ13</x:f>
        <x:v>伤害10→15</x:v>
      </x:c>
      <x:c r="G225" s="23" t="str">
        <x:f>'75张卡牌'!M13</x:f>
        <x:v>格挡6→10</x:v>
      </x:c>
    </x:row>
    <x:row r="226" ht="28" customHeight="1">
      <x:c r="A226" s="10" t="str">
        <x:v>关键词 · 基础</x:v>
      </x:c>
      <x:c r="B226" s="11" t="str">
        <x:f>'75张卡牌'!BR14</x:f>
        <x:v>—</x:v>
      </x:c>
      <x:c r="C226" s="11" t="str">
        <x:f>'75张卡牌'!Y14</x:f>
        <x:v>—</x:v>
      </x:c>
      <x:c r="D226" s="11" t="str">
        <x:f>'75张卡牌'!Z14</x:f>
        <x:v>—</x:v>
      </x:c>
      <x:c r="E226" s="11" t="str">
        <x:f>'75张卡牌'!AC14</x:f>
        <x:v>—</x:v>
      </x:c>
      <x:c r="F226" s="11" t="str">
        <x:f>'75张卡牌'!AQ14</x:f>
        <x:v>—</x:v>
      </x:c>
      <x:c r="G226" s="11" t="str">
        <x:f>'75张卡牌'!M14</x:f>
        <x:v>—</x:v>
      </x:c>
    </x:row>
    <x:row r="227" ht="28" customHeight="1">
      <x:c r="A227" s="10" t="str">
        <x:v>设计职责 · 分析</x:v>
      </x:c>
      <x:c r="B227" s="3" t="str">
        <x:f>'75张卡牌'!BR15</x:f>
        <x:v>生成牌回报</x:v>
      </x:c>
      <x:c r="C227" s="3" t="str">
        <x:f>'75张卡牌'!Y15</x:f>
        <x:v>持续生成输出</x:v>
      </x:c>
      <x:c r="D227" s="3" t="str">
        <x:f>'75张卡牌'!Z15</x:f>
        <x:v>输出／生成保留攻击</x:v>
      </x:c>
      <x:c r="E227" s="3" t="str">
        <x:f>'75张卡牌'!AC15</x:f>
        <x:v>分段防御／生成</x:v>
      </x:c>
      <x:c r="F227" s="3" t="str">
        <x:f>'75张卡牌'!AQ15</x:f>
        <x:v>延迟爆发／生成</x:v>
      </x:c>
      <x:c r="G227" s="3" t="str">
        <x:f>'75张卡牌'!M15</x:f>
        <x:v>防御／生成抽牌</x:v>
      </x:c>
    </x:row>
    <x:row r="228" ht="44" customHeight="1">
      <x:c r="A228" s="10" t="str">
        <x:v>时序／使用边界</x:v>
      </x:c>
      <x:c r="B228" s="11" t="str">
        <x:f>'75张卡牌'!BR17</x:f>
        <x:v>影响能力生效之后生成的牌，不追溯升级此前生成的牌。</x:v>
      </x:c>
      <x:c r="C228" s="11" t="str">
        <x:f>'75张卡牌'!Y17</x:f>
        <x:v>不是打出时立刻生成；每回合生成可能挤占手牌。</x:v>
      </x:c>
      <x:c r="D228" s="11" t="str">
        <x:f>'75张卡牌'!Z17</x:f>
        <x:v>升级不提高惩恶等级；惩恶需要另付1费。</x:v>
      </x:c>
      <x:c r="E228" s="11" t="str">
        <x:f>'75张卡牌'!AC17</x:f>
        <x:v>升级不提高平安等级；第一段即时，第二段可保留。</x:v>
      </x:c>
      <x:c r="F228" s="11" t="str">
        <x:f>'75张卡牌'!AQ17</x:f>
        <x:v>以暴易暴不直接到手；升级母牌不会升级子牌。</x:v>
      </x:c>
      <x:c r="G228" s="11" t="str">
        <x:f>'75张卡牌'!M17</x:f>
        <x:v>升级只提高格挡，不将洞见升级。</x:v>
      </x:c>
    </x:row>
    <x:row r="231" ht="28" customHeight="1">
      <x:c r="A231" s="34" t="str">
        <x:v>06  生成升级  ·  7—12 / 13</x:v>
      </x:c>
      <x:c r="B231" s="32"/>
      <x:c r="C231" s="32"/>
      <x:c r="D231" s="32"/>
      <x:c r="E231" s="32"/>
      <x:c r="F231" s="32"/>
      <x:c r="G231" s="32"/>
    </x:row>
    <x:row r="232" ht="30" customHeight="1">
      <x:c r="A232" s="16" t="str">
        <x:v>卡牌名</x:v>
      </x:c>
      <x:c r="B232" s="16" t="str">
        <x:f>'75张卡牌'!AP5</x:f>
        <x:v>祈祷</x:v>
      </x:c>
      <x:c r="C232" s="16" t="str">
        <x:f>'75张卡牌'!AW5</x:f>
        <x:v>研习</x:v>
      </x:c>
      <x:c r="D232" s="16" t="str">
        <x:f>'75张卡牌'!AG5</x:f>
        <x:v>他山之石</x:v>
      </x:c>
      <x:c r="E232" s="16" t="str">
        <x:f>'75张卡牌'!AA5</x:f>
        <x:v>收集</x:v>
      </x:c>
      <x:c r="F232" s="16" t="str">
        <x:f>'75张卡牌'!BL5</x:f>
        <x:v>机械降神</x:v>
      </x:c>
      <x:c r="G232" s="17" t="str">
        <x:f>'75张卡牌'!BK5</x:f>
        <x:v>聚能成刃</x:v>
      </x:c>
    </x:row>
    <x:row r="233" ht="28" customHeight="1">
      <x:c r="A233" s="10" t="str">
        <x:v>包内职责 · 分析</x:v>
      </x:c>
      <x:c r="B233" s="35" t="str">
        <x:v>核心组件</x:v>
      </x:c>
      <x:c r="C233" s="35" t="str">
        <x:v>核心组件</x:v>
      </x:c>
      <x:c r="D233" s="35" t="str">
        <x:v>可选补件</x:v>
      </x:c>
      <x:c r="E233" s="35" t="str">
        <x:v>可选补件</x:v>
      </x:c>
      <x:c r="F233" s="35" t="str">
        <x:v>可选补件</x:v>
      </x:c>
      <x:c r="G233" s="35" t="str">
        <x:v>可选补件</x:v>
      </x:c>
    </x:row>
    <x:row r="234" ht="28" customHeight="1">
      <x:c r="A234" s="10" t="str">
        <x:v>英文名</x:v>
      </x:c>
      <x:c r="B234" s="3" t="str">
        <x:f>'75张卡牌'!AP6</x:f>
        <x:v>Pray</x:v>
      </x:c>
      <x:c r="C234" s="3" t="str">
        <x:f>'75张卡牌'!AW6</x:f>
        <x:v>Study</x:v>
      </x:c>
      <x:c r="D234" s="3" t="str">
        <x:f>'75张卡牌'!AG6</x:f>
        <x:v>Foreign Influence</x:v>
      </x:c>
      <x:c r="E234" s="3" t="str">
        <x:f>'75张卡牌'!AA6</x:f>
        <x:v>Collect</x:v>
      </x:c>
      <x:c r="F234" s="3" t="str">
        <x:f>'75张卡牌'!BL6</x:f>
        <x:v>Deus Ex Machina</x:v>
      </x:c>
      <x:c r="G234" s="3" t="str">
        <x:f>'75张卡牌'!BK6</x:f>
        <x:v>Conjure Blade</x:v>
      </x:c>
    </x:row>
    <x:row r="235" ht="28" customHeight="1">
      <x:c r="A235" s="10" t="str">
        <x:v>类型／稀有度</x:v>
      </x:c>
      <x:c r="B235" s="11" t="str">
        <x:v>技能 / 罕见</x:v>
      </x:c>
      <x:c r="C235" s="11" t="str">
        <x:v>能力 / 罕见</x:v>
      </x:c>
      <x:c r="D235" s="11" t="str">
        <x:v>技能 / 罕见</x:v>
      </x:c>
      <x:c r="E235" s="11" t="str">
        <x:v>技能 / 罕见</x:v>
      </x:c>
      <x:c r="F235" s="11" t="str">
        <x:v>技能 / 稀有</x:v>
      </x:c>
      <x:c r="G235" s="11" t="str">
        <x:v>技能 / 稀有</x:v>
      </x:c>
    </x:row>
    <x:row r="236" ht="28" customHeight="1">
      <x:c r="A236" s="10" t="str">
        <x:v>费用 · 基础</x:v>
      </x:c>
      <x:c r="B236" s="20" t="n">
        <x:f>'75张卡牌'!AP9</x:f>
        <x:v>1</x:v>
      </x:c>
      <x:c r="C236" s="20" t="n">
        <x:f>'75张卡牌'!AW9</x:f>
        <x:v>2</x:v>
      </x:c>
      <x:c r="D236" s="20" t="n">
        <x:f>'75张卡牌'!AG9</x:f>
        <x:v>0</x:v>
      </x:c>
      <x:c r="E236" s="20" t="str">
        <x:f>'75张卡牌'!AA9</x:f>
        <x:v>X</x:v>
      </x:c>
      <x:c r="F236" s="20" t="str">
        <x:f>'75张卡牌'!BL9</x:f>
        <x:v>不可打出</x:v>
      </x:c>
      <x:c r="G236" s="20" t="str">
        <x:f>'75张卡牌'!BK9</x:f>
        <x:v>X</x:v>
      </x:c>
    </x:row>
    <x:row r="237" ht="28" customHeight="1">
      <x:c r="A237" s="10" t="str">
        <x:v>费用 · 升级</x:v>
      </x:c>
      <x:c r="B237" s="21" t="n">
        <x:f>'75张卡牌'!AP10</x:f>
        <x:v>1</x:v>
      </x:c>
      <x:c r="C237" s="21" t="n">
        <x:f>'75张卡牌'!AW10</x:f>
        <x:v>1</x:v>
      </x:c>
      <x:c r="D237" s="21" t="n">
        <x:f>'75张卡牌'!AG10</x:f>
        <x:v>0</x:v>
      </x:c>
      <x:c r="E237" s="21" t="str">
        <x:f>'75张卡牌'!AA10</x:f>
        <x:v>X</x:v>
      </x:c>
      <x:c r="F237" s="21" t="str">
        <x:f>'75张卡牌'!BL10</x:f>
        <x:v>不可打出</x:v>
      </x:c>
      <x:c r="G237" s="21" t="str">
        <x:f>'75张卡牌'!BK10</x:f>
        <x:v>X</x:v>
      </x:c>
    </x:row>
    <x:row r="238" ht="44" customHeight="1">
      <x:c r="A238" s="10" t="str">
        <x:v>基础效果</x:v>
      </x:c>
      <x:c r="B238" s="3" t="str">
        <x:f>'75张卡牌'!AP11</x:f>
        <x:v>获得3层真言；将1张洞见洗入抽牌堆。</x:v>
      </x:c>
      <x:c r="C238" s="3" t="str">
        <x:f>'75张卡牌'!AW11</x:f>
        <x:v>每回合结束时，将1张洞见洗入抽牌堆。</x:v>
      </x:c>
      <x:c r="D238" s="3" t="str">
        <x:f>'75张卡牌'!AG11</x:f>
        <x:v>从3张随机的任意颜色攻击牌中选1张加入手牌。消耗。</x:v>
      </x:c>
      <x:c r="E238" s="3" t="str">
        <x:f>'75张卡牌'!AA11</x:f>
        <x:v>从下回合开始，连续X个回合在回合开始时获得1张奇迹+。消耗。</x:v>
      </x:c>
      <x:c r="F238" s="3" t="str">
        <x:f>'75张卡牌'!BL11</x:f>
        <x:v>不能被打出。抽到时，将2张奇迹加入手牌，然后消耗此牌。</x:v>
      </x:c>
      <x:c r="G238" s="3" t="str">
        <x:f>'75张卡牌'!BK11</x:f>
        <x:v>将1张攻击次数为X的灭除之刃洗入抽牌堆。消耗。</x:v>
      </x:c>
    </x:row>
    <x:row r="239" ht="60" customHeight="1">
      <x:c r="A239" s="10" t="str">
        <x:v>升级后完整效果</x:v>
      </x:c>
      <x:c r="B239" s="11" t="str">
        <x:f>'75张卡牌'!AP12</x:f>
        <x:v>获得4层真言；将1张洞见洗入抽牌堆。</x:v>
      </x:c>
      <x:c r="C239" s="11" t="str">
        <x:f>'75张卡牌'!AW12</x:f>
        <x:v>每回合结束时，将1张洞见洗入抽牌堆。</x:v>
      </x:c>
      <x:c r="D239" s="11" t="str">
        <x:f>'75张卡牌'!AG12</x:f>
        <x:v>从3张随机的任意颜色攻击牌中选1张加入手牌。它在本回合费用为0。消耗。</x:v>
      </x:c>
      <x:c r="E239" s="11" t="str">
        <x:f>'75张卡牌'!AA12</x:f>
        <x:v>从下回合开始，连续X+1个回合在回合开始时获得1张奇迹+。消耗。</x:v>
      </x:c>
      <x:c r="F239" s="11" t="str">
        <x:f>'75张卡牌'!BL12</x:f>
        <x:v>不能被打出。抽到时，将3张奇迹加入手牌，然后消耗此牌。</x:v>
      </x:c>
      <x:c r="G239" s="11" t="str">
        <x:f>'75张卡牌'!BK12</x:f>
        <x:v>将1张攻击次数为X+1的灭除之刃洗入抽牌堆。消耗。</x:v>
      </x:c>
    </x:row>
    <x:row r="240" ht="28" customHeight="1">
      <x:c r="A240" s="22" t="str">
        <x:v>升级改动</x:v>
      </x:c>
      <x:c r="B240" s="23" t="str">
        <x:f>'75张卡牌'!AP13</x:f>
        <x:v>真言3→4</x:v>
      </x:c>
      <x:c r="C240" s="23" t="str">
        <x:f>'75张卡牌'!AW13</x:f>
        <x:v>费用2→1</x:v>
      </x:c>
      <x:c r="D240" s="23" t="str">
        <x:f>'75张卡牌'!AG13</x:f>
        <x:v>生成牌本回合变为0费</x:v>
      </x:c>
      <x:c r="E240" s="23" t="str">
        <x:f>'75张卡牌'!AA13</x:f>
        <x:v>持续X→X+1回合</x:v>
      </x:c>
      <x:c r="F240" s="23" t="str">
        <x:f>'75张卡牌'!BL13</x:f>
        <x:v>奇迹数量2→3</x:v>
      </x:c>
      <x:c r="G240" s="23" t="str">
        <x:f>'75张卡牌'!BK13</x:f>
        <x:v>子牌攻击次数X→X+1</x:v>
      </x:c>
    </x:row>
    <x:row r="241" ht="28" customHeight="1">
      <x:c r="A241" s="10" t="str">
        <x:v>关键词 · 基础</x:v>
      </x:c>
      <x:c r="B241" s="11" t="str">
        <x:f>'75张卡牌'!AP14</x:f>
        <x:v>真言</x:v>
      </x:c>
      <x:c r="C241" s="11" t="str">
        <x:f>'75张卡牌'!AW14</x:f>
        <x:v>—</x:v>
      </x:c>
      <x:c r="D241" s="11" t="str">
        <x:f>'75张卡牌'!AG14</x:f>
        <x:v>消耗</x:v>
      </x:c>
      <x:c r="E241" s="11" t="str">
        <x:f>'75张卡牌'!AA14</x:f>
        <x:v>消耗</x:v>
      </x:c>
      <x:c r="F241" s="11" t="str">
        <x:f>'75张卡牌'!BL14</x:f>
        <x:v>消耗</x:v>
      </x:c>
      <x:c r="G241" s="11" t="str">
        <x:f>'75张卡牌'!BK14</x:f>
        <x:v>消耗</x:v>
      </x:c>
    </x:row>
    <x:row r="242" ht="28" customHeight="1">
      <x:c r="A242" s="10" t="str">
        <x:v>设计职责 · 分析</x:v>
      </x:c>
      <x:c r="B242" s="3" t="str">
        <x:f>'75张卡牌'!AP15</x:f>
        <x:v>阈值资源／生成抽牌</x:v>
      </x:c>
      <x:c r="C242" s="3" t="str">
        <x:f>'75张卡牌'!AW15</x:f>
        <x:v>持续生成抽牌</x:v>
      </x:c>
      <x:c r="D242" s="3" t="str">
        <x:f>'75张卡牌'!AG15</x:f>
        <x:v>生成／临场解答</x:v>
      </x:c>
      <x:c r="E242" s="3" t="str">
        <x:f>'75张卡牌'!AA15</x:f>
        <x:v>延迟能量／生成</x:v>
      </x:c>
      <x:c r="F242" s="3" t="str">
        <x:f>'75张卡牌'!BL15</x:f>
        <x:v>抽取触发／生成能量</x:v>
      </x:c>
      <x:c r="G242" s="3" t="str">
        <x:f>'75张卡牌'!BK15</x:f>
        <x:v>能量储存／生成输出</x:v>
      </x:c>
    </x:row>
    <x:row r="243" ht="44" customHeight="1">
      <x:c r="A243" s="10" t="str">
        <x:v>时序／使用边界</x:v>
      </x:c>
      <x:c r="B243" s="11" t="str">
        <x:f>'75张卡牌'!AP17</x:f>
        <x:v>升级不提高洞见等级；生成的抽牌有抽到它的延迟。</x:v>
      </x:c>
      <x:c r="C243" s="11" t="str">
        <x:f>'75张卡牌'!AW17</x:f>
        <x:v>回合结束生成，仍需先抽到洞见；可能稀释小牌组循环。</x:v>
      </x:c>
      <x:c r="D243" s="11" t="str">
        <x:f>'75张卡牌'!AG17</x:f>
        <x:v>升级改变生成牌的本回合费用，不保证抽到特定攻击。</x:v>
      </x:c>
      <x:c r="E243" s="11" t="str">
        <x:f>'75张卡牌'!AA17</x:f>
        <x:v>投入能量决定持续回合数；每回合固定给1张奇迹+。</x:v>
      </x:c>
      <x:c r="F243" s="11" t="str">
        <x:f>'75张卡牌'!BL17</x:f>
        <x:v>必须发生抽牌触发；不是打出效果，奇迹默认未升级。</x:v>
      </x:c>
      <x:c r="G243" s="11" t="str">
        <x:f>'75张卡牌'!BK17</x:f>
        <x:v>X由施放母牌的能量投入决定；灭除之刃本身费用为1。</x:v>
      </x:c>
    </x:row>
    <x:row r="246" ht="28" customHeight="1">
      <x:c r="A246" s="34" t="str">
        <x:v>06  生成升级  ·  13—13 / 13</x:v>
      </x:c>
      <x:c r="B246" s="32"/>
      <x:c r="C246" s="32"/>
      <x:c r="D246" s="32"/>
      <x:c r="E246" s="32"/>
      <x:c r="F246" s="32"/>
      <x:c r="G246" s="32"/>
    </x:row>
    <x:row r="247" ht="30" customHeight="1">
      <x:c r="A247" s="16" t="str">
        <x:v>卡牌名</x:v>
      </x:c>
      <x:c r="B247" s="17" t="str">
        <x:f>'75张卡牌'!BO5</x:f>
        <x:v>确立基础</x:v>
      </x:c>
    </x:row>
    <x:row r="248" ht="28" customHeight="1">
      <x:c r="A248" s="10" t="str">
        <x:v>包内职责 · 分析</x:v>
      </x:c>
      <x:c r="B248" s="35" t="str">
        <x:v>可选补件</x:v>
      </x:c>
    </x:row>
    <x:row r="249" ht="28" customHeight="1">
      <x:c r="A249" s="10" t="str">
        <x:v>英文名</x:v>
      </x:c>
      <x:c r="B249" s="3" t="str">
        <x:f>'75张卡牌'!BO6</x:f>
        <x:v>Establishment</x:v>
      </x:c>
    </x:row>
    <x:row r="250" ht="28" customHeight="1">
      <x:c r="A250" s="10" t="str">
        <x:v>类型／稀有度</x:v>
      </x:c>
      <x:c r="B250" s="11" t="str">
        <x:v>能力 / 稀有</x:v>
      </x:c>
    </x:row>
    <x:row r="251" ht="28" customHeight="1">
      <x:c r="A251" s="10" t="str">
        <x:v>费用 · 基础</x:v>
      </x:c>
      <x:c r="B251" s="20" t="n">
        <x:f>'75张卡牌'!BO9</x:f>
        <x:v>1</x:v>
      </x:c>
    </x:row>
    <x:row r="252" ht="28" customHeight="1">
      <x:c r="A252" s="10" t="str">
        <x:v>费用 · 升级</x:v>
      </x:c>
      <x:c r="B252" s="21" t="n">
        <x:f>'75张卡牌'!BO10</x:f>
        <x:v>1</x:v>
      </x:c>
    </x:row>
    <x:row r="253" ht="44" customHeight="1">
      <x:c r="A253" s="10" t="str">
        <x:v>基础效果</x:v>
      </x:c>
      <x:c r="B253" s="3" t="str">
        <x:f>'75张卡牌'!BO11</x:f>
        <x:v>每当一张牌被保留，该牌费用在本场战斗中降低1。</x:v>
      </x:c>
    </x:row>
    <x:row r="254" ht="44" customHeight="1">
      <x:c r="A254" s="10" t="str">
        <x:v>升级后完整效果</x:v>
      </x:c>
      <x:c r="B254" s="11" t="str">
        <x:f>'75张卡牌'!BO12</x:f>
        <x:v>固有。每当一张牌被保留，该牌费用在本场战斗中降低1。</x:v>
      </x:c>
    </x:row>
    <x:row r="255" ht="28" customHeight="1">
      <x:c r="A255" s="22" t="str">
        <x:v>升级改动</x:v>
      </x:c>
      <x:c r="B255" s="23" t="str">
        <x:f>'75张卡牌'!BO13</x:f>
        <x:v>新增固有</x:v>
      </x:c>
    </x:row>
    <x:row r="256" ht="28" customHeight="1">
      <x:c r="A256" s="10" t="str">
        <x:v>关键词 · 基础</x:v>
      </x:c>
      <x:c r="B256" s="11" t="str">
        <x:f>'75张卡牌'!BO14</x:f>
        <x:v>保留</x:v>
      </x:c>
    </x:row>
    <x:row r="257" ht="28" customHeight="1">
      <x:c r="A257" s="10" t="str">
        <x:v>设计职责 · 分析</x:v>
      </x:c>
      <x:c r="B257" s="3" t="str">
        <x:f>'75张卡牌'!BO15</x:f>
        <x:v>保留回报／降费</x:v>
      </x:c>
    </x:row>
    <x:row r="258" ht="44" customHeight="1">
      <x:c r="A258" s="10" t="str">
        <x:v>时序／使用边界</x:v>
      </x:c>
      <x:c r="B258" s="11" t="str">
        <x:f>'75张卡牌'!BO17</x:f>
        <x:v>普通费用最低为0；保留事件才触发，单纯停在手中不等于结算保留。</x:v>
      </x:c>
    </x:row>
    <x:row r="261" ht="28" customHeight="1">
      <x:c r="A261" s="34" t="str">
        <x:v>07  能量与属性成长  ·  1—6 / 12</x:v>
      </x:c>
      <x:c r="B261" s="32"/>
      <x:c r="C261" s="32"/>
      <x:c r="D261" s="32"/>
      <x:c r="E261" s="32"/>
      <x:c r="F261" s="32"/>
      <x:c r="G261" s="32"/>
    </x:row>
    <x:row r="262" ht="30" customHeight="1">
      <x:c r="A262" s="16" t="str">
        <x:v>卡牌名</x:v>
      </x:c>
      <x:c r="B262" s="16" t="str">
        <x:f>'75张卡牌'!BM5</x:f>
        <x:v>天人形态</x:v>
      </x:c>
      <x:c r="C262" s="16" t="str">
        <x:f>'75张卡牌'!AE5</x:f>
        <x:v>斋戒</x:v>
      </x:c>
      <x:c r="D262" s="16" t="str">
        <x:f>'75张卡牌'!AA5</x:f>
        <x:v>收集</x:v>
      </x:c>
      <x:c r="E262" s="16" t="str">
        <x:f>'75张卡牌'!BL5</x:f>
        <x:v>机械降神</x:v>
      </x:c>
      <x:c r="F262" s="16" t="str">
        <x:f>'75张卡牌'!BK5</x:f>
        <x:v>聚能成刃</x:v>
      </x:c>
      <x:c r="G262" s="17" t="str">
        <x:f>'75张卡牌'!BX5</x:f>
        <x:v>许愿</x:v>
      </x:c>
    </x:row>
    <x:row r="263" ht="28" customHeight="1">
      <x:c r="A263" s="10" t="str">
        <x:v>包内职责 · 分析</x:v>
      </x:c>
      <x:c r="B263" s="35" t="str">
        <x:v>核心组件</x:v>
      </x:c>
      <x:c r="C263" s="35" t="str">
        <x:v>核心组件</x:v>
      </x:c>
      <x:c r="D263" s="35" t="str">
        <x:v>核心组件</x:v>
      </x:c>
      <x:c r="E263" s="35" t="str">
        <x:v>核心组件</x:v>
      </x:c>
      <x:c r="F263" s="35" t="str">
        <x:v>核心组件</x:v>
      </x:c>
      <x:c r="G263" s="35" t="str">
        <x:v>核心组件</x:v>
      </x:c>
    </x:row>
    <x:row r="264" ht="28" customHeight="1">
      <x:c r="A264" s="10" t="str">
        <x:v>英文名</x:v>
      </x:c>
      <x:c r="B264" s="3" t="str">
        <x:f>'75张卡牌'!BM6</x:f>
        <x:v>Deva Form</x:v>
      </x:c>
      <x:c r="C264" s="3" t="str">
        <x:f>'75张卡牌'!AE6</x:f>
        <x:v>Fasting</x:v>
      </x:c>
      <x:c r="D264" s="3" t="str">
        <x:f>'75张卡牌'!AA6</x:f>
        <x:v>Collect</x:v>
      </x:c>
      <x:c r="E264" s="3" t="str">
        <x:f>'75张卡牌'!BL6</x:f>
        <x:v>Deus Ex Machina</x:v>
      </x:c>
      <x:c r="F264" s="3" t="str">
        <x:f>'75张卡牌'!BK6</x:f>
        <x:v>Conjure Blade</x:v>
      </x:c>
      <x:c r="G264" s="3" t="str">
        <x:f>'75张卡牌'!BX6</x:f>
        <x:v>Wish</x:v>
      </x:c>
    </x:row>
    <x:row r="265" ht="28" customHeight="1">
      <x:c r="A265" s="10" t="str">
        <x:v>类型／稀有度</x:v>
      </x:c>
      <x:c r="B265" s="11" t="str">
        <x:v>能力 / 稀有</x:v>
      </x:c>
      <x:c r="C265" s="11" t="str">
        <x:v>能力 / 罕见</x:v>
      </x:c>
      <x:c r="D265" s="11" t="str">
        <x:v>技能 / 罕见</x:v>
      </x:c>
      <x:c r="E265" s="11" t="str">
        <x:v>技能 / 稀有</x:v>
      </x:c>
      <x:c r="F265" s="11" t="str">
        <x:v>技能 / 稀有</x:v>
      </x:c>
      <x:c r="G265" s="11" t="str">
        <x:v>技能 / 稀有</x:v>
      </x:c>
    </x:row>
    <x:row r="266" ht="28" customHeight="1">
      <x:c r="A266" s="10" t="str">
        <x:v>费用 · 基础</x:v>
      </x:c>
      <x:c r="B266" s="20" t="n">
        <x:f>'75张卡牌'!BM9</x:f>
        <x:v>3</x:v>
      </x:c>
      <x:c r="C266" s="20" t="n">
        <x:f>'75张卡牌'!AE9</x:f>
        <x:v>2</x:v>
      </x:c>
      <x:c r="D266" s="20" t="str">
        <x:f>'75张卡牌'!AA9</x:f>
        <x:v>X</x:v>
      </x:c>
      <x:c r="E266" s="20" t="str">
        <x:f>'75张卡牌'!BL9</x:f>
        <x:v>不可打出</x:v>
      </x:c>
      <x:c r="F266" s="20" t="str">
        <x:f>'75张卡牌'!BK9</x:f>
        <x:v>X</x:v>
      </x:c>
      <x:c r="G266" s="20" t="n">
        <x:f>'75张卡牌'!BX9</x:f>
        <x:v>3</x:v>
      </x:c>
    </x:row>
    <x:row r="267" ht="28" customHeight="1">
      <x:c r="A267" s="10" t="str">
        <x:v>费用 · 升级</x:v>
      </x:c>
      <x:c r="B267" s="21" t="n">
        <x:f>'75张卡牌'!BM10</x:f>
        <x:v>3</x:v>
      </x:c>
      <x:c r="C267" s="21" t="n">
        <x:f>'75张卡牌'!AE10</x:f>
        <x:v>2</x:v>
      </x:c>
      <x:c r="D267" s="21" t="str">
        <x:f>'75张卡牌'!AA10</x:f>
        <x:v>X</x:v>
      </x:c>
      <x:c r="E267" s="21" t="str">
        <x:f>'75张卡牌'!BL10</x:f>
        <x:v>不可打出</x:v>
      </x:c>
      <x:c r="F267" s="21" t="str">
        <x:f>'75张卡牌'!BK10</x:f>
        <x:v>X</x:v>
      </x:c>
      <x:c r="G267" s="21" t="n">
        <x:f>'75张卡牌'!BX10</x:f>
        <x:v>3</x:v>
      </x:c>
    </x:row>
    <x:row r="268" ht="44" customHeight="1">
      <x:c r="A268" s="10" t="str">
        <x:v>基础效果</x:v>
      </x:c>
      <x:c r="B268" s="3" t="str">
        <x:f>'75张卡牌'!BM11</x:f>
        <x:v>虚无。每回合开始时获得额外能量，首次为1，以后每回合再增加1。</x:v>
      </x:c>
      <x:c r="C268" s="3" t="str">
        <x:f>'75张卡牌'!AE11</x:f>
        <x:v>获得3点力量和3点敏捷；以后每回合开始时少获得1点能量。</x:v>
      </x:c>
      <x:c r="D268" s="3" t="str">
        <x:f>'75张卡牌'!AA11</x:f>
        <x:v>从下回合开始，连续X个回合在回合开始时获得1张奇迹+。消耗。</x:v>
      </x:c>
      <x:c r="E268" s="3" t="str">
        <x:f>'75张卡牌'!BL11</x:f>
        <x:v>不能被打出。抽到时，将2张奇迹加入手牌，然后消耗此牌。</x:v>
      </x:c>
      <x:c r="F268" s="3" t="str">
        <x:f>'75张卡牌'!BK11</x:f>
        <x:v>将1张攻击次数为X的灭除之刃洗入抽牌堆。消耗。</x:v>
      </x:c>
      <x:c r="G268" s="3" t="str">
        <x:f>'75张卡牌'!BX11</x:f>
        <x:v>三选一：获得6层多层护甲、3点力量，或25金币。消耗。</x:v>
      </x:c>
    </x:row>
    <x:row r="269" ht="44" customHeight="1">
      <x:c r="A269" s="10" t="str">
        <x:v>升级后完整效果</x:v>
      </x:c>
      <x:c r="B269" s="11" t="str">
        <x:f>'75张卡牌'!BM12</x:f>
        <x:v>每回合开始时获得额外能量，首次为1，以后每回合再增加1。</x:v>
      </x:c>
      <x:c r="C269" s="11" t="str">
        <x:f>'75张卡牌'!AE12</x:f>
        <x:v>获得4点力量和4点敏捷；以后每回合开始时少获得1点能量。</x:v>
      </x:c>
      <x:c r="D269" s="11" t="str">
        <x:f>'75张卡牌'!AA12</x:f>
        <x:v>从下回合开始，连续X+1个回合在回合开始时获得1张奇迹+。消耗。</x:v>
      </x:c>
      <x:c r="E269" s="11" t="str">
        <x:f>'75张卡牌'!BL12</x:f>
        <x:v>不能被打出。抽到时，将3张奇迹加入手牌，然后消耗此牌。</x:v>
      </x:c>
      <x:c r="F269" s="11" t="str">
        <x:f>'75张卡牌'!BK12</x:f>
        <x:v>将1张攻击次数为X+1的灭除之刃洗入抽牌堆。消耗。</x:v>
      </x:c>
      <x:c r="G269" s="11" t="str">
        <x:f>'75张卡牌'!BX12</x:f>
        <x:v>三选一：获得8层多层护甲、4点力量，或30金币。消耗。</x:v>
      </x:c>
    </x:row>
    <x:row r="270" ht="28" customHeight="1">
      <x:c r="A270" s="22" t="str">
        <x:v>升级改动</x:v>
      </x:c>
      <x:c r="B270" s="23" t="str">
        <x:f>'75张卡牌'!BM13</x:f>
        <x:v>移除虚无</x:v>
      </x:c>
      <x:c r="C270" s="23" t="str">
        <x:f>'75张卡牌'!AE13</x:f>
        <x:v>力量与敏捷各3→4</x:v>
      </x:c>
      <x:c r="D270" s="23" t="str">
        <x:f>'75张卡牌'!AA13</x:f>
        <x:v>持续X→X+1回合</x:v>
      </x:c>
      <x:c r="E270" s="23" t="str">
        <x:f>'75张卡牌'!BL13</x:f>
        <x:v>奇迹数量2→3</x:v>
      </x:c>
      <x:c r="F270" s="23" t="str">
        <x:f>'75张卡牌'!BK13</x:f>
        <x:v>子牌攻击次数X→X+1</x:v>
      </x:c>
      <x:c r="G270" s="23" t="str">
        <x:f>'75张卡牌'!BX13</x:f>
        <x:v>护甲6→8；力量3→4；金币25→30</x:v>
      </x:c>
    </x:row>
    <x:row r="271" ht="28" customHeight="1">
      <x:c r="A271" s="10" t="str">
        <x:v>关键词 · 基础</x:v>
      </x:c>
      <x:c r="B271" s="11" t="str">
        <x:f>'75张卡牌'!BM14</x:f>
        <x:v>虚无</x:v>
      </x:c>
      <x:c r="C271" s="11" t="str">
        <x:f>'75张卡牌'!AE14</x:f>
        <x:v>—</x:v>
      </x:c>
      <x:c r="D271" s="11" t="str">
        <x:f>'75张卡牌'!AA14</x:f>
        <x:v>消耗</x:v>
      </x:c>
      <x:c r="E271" s="11" t="str">
        <x:f>'75张卡牌'!BL14</x:f>
        <x:v>消耗</x:v>
      </x:c>
      <x:c r="F271" s="11" t="str">
        <x:f>'75张卡牌'!BK14</x:f>
        <x:v>消耗</x:v>
      </x:c>
      <x:c r="G271" s="11" t="str">
        <x:f>'75张卡牌'!BX14</x:f>
        <x:v>消耗</x:v>
      </x:c>
    </x:row>
    <x:row r="272" ht="28" customHeight="1">
      <x:c r="A272" s="10" t="str">
        <x:v>设计职责 · 分析</x:v>
      </x:c>
      <x:c r="B272" s="3" t="str">
        <x:f>'75张卡牌'!BM15</x:f>
        <x:v>持续能量成长</x:v>
      </x:c>
      <x:c r="C272" s="3" t="str">
        <x:f>'75张卡牌'!AE15</x:f>
        <x:v>攻防成长／资源代价</x:v>
      </x:c>
      <x:c r="D272" s="3" t="str">
        <x:f>'75张卡牌'!AA15</x:f>
        <x:v>延迟能量／生成</x:v>
      </x:c>
      <x:c r="E272" s="3" t="str">
        <x:f>'75张卡牌'!BL15</x:f>
        <x:v>抽取触发／生成能量</x:v>
      </x:c>
      <x:c r="F272" s="3" t="str">
        <x:f>'75张卡牌'!BK15</x:f>
        <x:v>能量储存／生成输出</x:v>
      </x:c>
      <x:c r="G272" s="3" t="str">
        <x:f>'75张卡牌'!BX15</x:f>
        <x:v>成长／防御／经济选择</x:v>
      </x:c>
    </x:row>
    <x:row r="273" ht="44" customHeight="1">
      <x:c r="A273" s="10" t="str">
        <x:v>时序／使用边界</x:v>
      </x:c>
      <x:c r="B273" s="11" t="str">
        <x:f>'75张卡牌'!BM17</x:f>
        <x:v>支付3费后从后续回合回报；升级不降低费用。</x:v>
      </x:c>
      <x:c r="C273" s="11" t="str">
        <x:f>'75张卡牌'!AE17</x:f>
        <x:v>能量惩罚从后续回合生效；需低费牌或补能支持。</x:v>
      </x:c>
      <x:c r="D273" s="11" t="str">
        <x:f>'75张卡牌'!AA17</x:f>
        <x:v>投入能量决定持续回合数；每回合固定给1张奇迹+。</x:v>
      </x:c>
      <x:c r="E273" s="11" t="str">
        <x:f>'75张卡牌'!BL17</x:f>
        <x:v>必须发生抽牌触发；不是打出效果，奇迹默认未升级。</x:v>
      </x:c>
      <x:c r="F273" s="11" t="str">
        <x:f>'75张卡牌'!BK17</x:f>
        <x:v>X由施放母牌的能量投入决定；灭除之刃本身费用为1。</x:v>
      </x:c>
      <x:c r="G273" s="11" t="str">
        <x:f>'75张卡牌'!BX17</x:f>
        <x:v>三个选项只选一个；金币属于路线经济收益。</x:v>
      </x:c>
    </x:row>
    <x:row r="276" ht="28" customHeight="1">
      <x:c r="A276" s="34" t="str">
        <x:v>07  能量与属性成长  ·  7—12 / 12</x:v>
      </x:c>
      <x:c r="B276" s="32"/>
      <x:c r="C276" s="32"/>
      <x:c r="D276" s="32"/>
      <x:c r="E276" s="32"/>
      <x:c r="F276" s="32"/>
      <x:c r="G276" s="32"/>
    </x:row>
    <x:row r="277" ht="30" customHeight="1">
      <x:c r="A277" s="16" t="str">
        <x:v>卡牌名</x:v>
      </x:c>
      <x:c r="B277" s="16" t="str">
        <x:f>'75张卡牌'!BT5</x:f>
        <x:v>诸神之黄昏</x:v>
      </x:c>
      <x:c r="C277" s="16" t="str">
        <x:f>'75张卡牌'!BG5</x:f>
        <x:v>火焰纹</x:v>
      </x:c>
      <x:c r="D277" s="16" t="str">
        <x:f>'75张卡牌'!BU5</x:f>
        <x:v>潦草急就</x:v>
      </x:c>
      <x:c r="E277" s="16" t="str">
        <x:f>'75张卡牌'!BD5</x:f>
        <x:v>回旋踢</x:v>
      </x:c>
      <x:c r="F277" s="16" t="str">
        <x:f>'75张卡牌'!AX5</x:f>
        <x:v>旋身</x:v>
      </x:c>
      <x:c r="G277" s="17" t="str">
        <x:f>'75张卡牌'!BS5</x:f>
        <x:v>通晓万物</x:v>
      </x:c>
    </x:row>
    <x:row r="278" ht="28" customHeight="1">
      <x:c r="A278" s="10" t="str">
        <x:v>包内职责 · 分析</x:v>
      </x:c>
      <x:c r="B278" s="35" t="str">
        <x:v>可选补件</x:v>
      </x:c>
      <x:c r="C278" s="35" t="str">
        <x:v>可选补件</x:v>
      </x:c>
      <x:c r="D278" s="35" t="str">
        <x:v>可选补件</x:v>
      </x:c>
      <x:c r="E278" s="35" t="str">
        <x:v>可选补件</x:v>
      </x:c>
      <x:c r="F278" s="35" t="str">
        <x:v>可选补件</x:v>
      </x:c>
      <x:c r="G278" s="35" t="str">
        <x:v>可选补件</x:v>
      </x:c>
    </x:row>
    <x:row r="279" ht="28" customHeight="1">
      <x:c r="A279" s="10" t="str">
        <x:v>英文名</x:v>
      </x:c>
      <x:c r="B279" s="3" t="str">
        <x:f>'75张卡牌'!BT6</x:f>
        <x:v>Ragnarok</x:v>
      </x:c>
      <x:c r="C279" s="3" t="str">
        <x:f>'75张卡牌'!BG6</x:f>
        <x:v>Wreath of Flame</x:v>
      </x:c>
      <x:c r="D279" s="3" t="str">
        <x:f>'75张卡牌'!BU6</x:f>
        <x:v>Scrawl</x:v>
      </x:c>
      <x:c r="E279" s="3" t="str">
        <x:f>'75张卡牌'!BD6</x:f>
        <x:v>Wheel Kick</x:v>
      </x:c>
      <x:c r="F279" s="3" t="str">
        <x:f>'75张卡牌'!AX6</x:f>
        <x:v>Swivel</x:v>
      </x:c>
      <x:c r="G279" s="3" t="str">
        <x:f>'75张卡牌'!BS6</x:f>
        <x:v>Omniscience</x:v>
      </x:c>
    </x:row>
    <x:row r="280" ht="28" customHeight="1">
      <x:c r="A280" s="10" t="str">
        <x:v>类型／稀有度</x:v>
      </x:c>
      <x:c r="B280" s="11" t="str">
        <x:v>攻击 / 稀有</x:v>
      </x:c>
      <x:c r="C280" s="11" t="str">
        <x:v>技能 / 罕见</x:v>
      </x:c>
      <x:c r="D280" s="11" t="str">
        <x:v>技能 / 稀有</x:v>
      </x:c>
      <x:c r="E280" s="11" t="str">
        <x:v>攻击 / 罕见</x:v>
      </x:c>
      <x:c r="F280" s="11" t="str">
        <x:v>技能 / 罕见</x:v>
      </x:c>
      <x:c r="G280" s="11" t="str">
        <x:v>技能 / 稀有</x:v>
      </x:c>
    </x:row>
    <x:row r="281" ht="28" customHeight="1">
      <x:c r="A281" s="10" t="str">
        <x:v>费用 · 基础</x:v>
      </x:c>
      <x:c r="B281" s="20" t="n">
        <x:f>'75张卡牌'!BT9</x:f>
        <x:v>3</x:v>
      </x:c>
      <x:c r="C281" s="20" t="n">
        <x:f>'75张卡牌'!BG9</x:f>
        <x:v>1</x:v>
      </x:c>
      <x:c r="D281" s="20" t="n">
        <x:f>'75张卡牌'!BU9</x:f>
        <x:v>1</x:v>
      </x:c>
      <x:c r="E281" s="20" t="n">
        <x:f>'75张卡牌'!BD9</x:f>
        <x:v>2</x:v>
      </x:c>
      <x:c r="F281" s="20" t="n">
        <x:f>'75张卡牌'!AX9</x:f>
        <x:v>2</x:v>
      </x:c>
      <x:c r="G281" s="20" t="n">
        <x:f>'75张卡牌'!BS9</x:f>
        <x:v>4</x:v>
      </x:c>
    </x:row>
    <x:row r="282" ht="28" customHeight="1">
      <x:c r="A282" s="10" t="str">
        <x:v>费用 · 升级</x:v>
      </x:c>
      <x:c r="B282" s="21" t="n">
        <x:f>'75张卡牌'!BT10</x:f>
        <x:v>3</x:v>
      </x:c>
      <x:c r="C282" s="21" t="n">
        <x:f>'75张卡牌'!BG10</x:f>
        <x:v>1</x:v>
      </x:c>
      <x:c r="D282" s="21" t="n">
        <x:f>'75张卡牌'!BU10</x:f>
        <x:v>0</x:v>
      </x:c>
      <x:c r="E282" s="21" t="n">
        <x:f>'75张卡牌'!BD10</x:f>
        <x:v>2</x:v>
      </x:c>
      <x:c r="F282" s="21" t="n">
        <x:f>'75张卡牌'!AX10</x:f>
        <x:v>2</x:v>
      </x:c>
      <x:c r="G282" s="21" t="n">
        <x:f>'75张卡牌'!BS10</x:f>
        <x:v>3</x:v>
      </x:c>
    </x:row>
    <x:row r="283" ht="44" customHeight="1">
      <x:c r="A283" s="10" t="str">
        <x:v>基础效果</x:v>
      </x:c>
      <x:c r="B283" s="3" t="str">
        <x:f>'75张卡牌'!BT11</x:f>
        <x:v>随机选择敌人造成5点伤害，重复5次。</x:v>
      </x:c>
      <x:c r="C283" s="3" t="str">
        <x:f>'75张卡牌'!BG11</x:f>
        <x:v>下一张攻击牌每段伤害增加5点。</x:v>
      </x:c>
      <x:c r="D283" s="3" t="str">
        <x:f>'75张卡牌'!BU11</x:f>
        <x:v>抽牌直到手牌达到上限。消耗。</x:v>
      </x:c>
      <x:c r="E283" s="3" t="str">
        <x:f>'75张卡牌'!BD11</x:f>
        <x:v>对单个敌人造成15点伤害；抽2张牌。</x:v>
      </x:c>
      <x:c r="F283" s="3" t="str">
        <x:f>'75张卡牌'!AX11</x:f>
        <x:v>获得8点格挡；你下一张打出的攻击牌费用为0。</x:v>
      </x:c>
      <x:c r="G283" s="3" t="str">
        <x:f>'75张卡牌'!BS11</x:f>
        <x:v>从抽牌堆选1张牌，免费打出2次，再消耗该牌。消耗。</x:v>
      </x:c>
    </x:row>
    <x:row r="284" ht="44" customHeight="1">
      <x:c r="A284" s="10" t="str">
        <x:v>升级后完整效果</x:v>
      </x:c>
      <x:c r="B284" s="11" t="str">
        <x:f>'75张卡牌'!BT12</x:f>
        <x:v>随机选择敌人造成6点伤害，重复6次。</x:v>
      </x:c>
      <x:c r="C284" s="11" t="str">
        <x:f>'75张卡牌'!BG12</x:f>
        <x:v>下一张攻击牌每段伤害增加8点。</x:v>
      </x:c>
      <x:c r="D284" s="11" t="str">
        <x:f>'75张卡牌'!BU12</x:f>
        <x:v>抽牌直到手牌达到上限。消耗。</x:v>
      </x:c>
      <x:c r="E284" s="11" t="str">
        <x:f>'75张卡牌'!BD12</x:f>
        <x:v>对单个敌人造成20点伤害；抽2张牌。</x:v>
      </x:c>
      <x:c r="F284" s="11" t="str">
        <x:f>'75张卡牌'!AX12</x:f>
        <x:v>获得11点格挡；你下一张打出的攻击牌费用为0。</x:v>
      </x:c>
      <x:c r="G284" s="11" t="str">
        <x:f>'75张卡牌'!BS12</x:f>
        <x:v>从抽牌堆选1张牌，免费打出2次，再消耗该牌。消耗。</x:v>
      </x:c>
    </x:row>
    <x:row r="285" ht="28" customHeight="1">
      <x:c r="A285" s="22" t="str">
        <x:v>升级改动</x:v>
      </x:c>
      <x:c r="B285" s="23" t="str">
        <x:f>'75张卡牌'!BT13</x:f>
        <x:v>每击5→6；次数5→6</x:v>
      </x:c>
      <x:c r="C285" s="23" t="str">
        <x:f>'75张卡牌'!BG13</x:f>
        <x:v>伤害加成5→8</x:v>
      </x:c>
      <x:c r="D285" s="23" t="str">
        <x:f>'75张卡牌'!BU13</x:f>
        <x:v>费用1→0</x:v>
      </x:c>
      <x:c r="E285" s="23" t="str">
        <x:f>'75张卡牌'!BD13</x:f>
        <x:v>伤害15→20</x:v>
      </x:c>
      <x:c r="F285" s="23" t="str">
        <x:f>'75张卡牌'!AX13</x:f>
        <x:v>格挡8→11</x:v>
      </x:c>
      <x:c r="G285" s="23" t="str">
        <x:f>'75张卡牌'!BS13</x:f>
        <x:v>费用4→3</x:v>
      </x:c>
    </x:row>
    <x:row r="286" ht="28" customHeight="1">
      <x:c r="A286" s="10" t="str">
        <x:v>关键词 · 基础</x:v>
      </x:c>
      <x:c r="B286" s="11" t="str">
        <x:f>'75张卡牌'!BT14</x:f>
        <x:v>—</x:v>
      </x:c>
      <x:c r="C286" s="11" t="str">
        <x:f>'75张卡牌'!BG14</x:f>
        <x:v>—</x:v>
      </x:c>
      <x:c r="D286" s="11" t="str">
        <x:f>'75张卡牌'!BU14</x:f>
        <x:v>消耗</x:v>
      </x:c>
      <x:c r="E286" s="11" t="str">
        <x:f>'75张卡牌'!BD14</x:f>
        <x:v>—</x:v>
      </x:c>
      <x:c r="F286" s="11" t="str">
        <x:f>'75张卡牌'!AX14</x:f>
        <x:v>—</x:v>
      </x:c>
      <x:c r="G286" s="11" t="str">
        <x:f>'75张卡牌'!BS14</x:f>
        <x:v>消耗</x:v>
      </x:c>
    </x:row>
    <x:row r="287" ht="28" customHeight="1">
      <x:c r="A287" s="10" t="str">
        <x:v>设计职责 · 分析</x:v>
      </x:c>
      <x:c r="B287" s="3" t="str">
        <x:f>'75张卡牌'!BT15</x:f>
        <x:v>多段爆发</x:v>
      </x:c>
      <x:c r="C287" s="3" t="str">
        <x:f>'75张卡牌'!BG15</x:f>
        <x:v>多段攻击放大</x:v>
      </x:c>
      <x:c r="D287" s="3" t="str">
        <x:f>'75张卡牌'!BU15</x:f>
        <x:v>爆发抽牌</x:v>
      </x:c>
      <x:c r="E287" s="3" t="str">
        <x:f>'75张卡牌'!BD15</x:f>
        <x:v>输出／抽牌</x:v>
      </x:c>
      <x:c r="F287" s="3" t="str">
        <x:f>'75张卡牌'!AX15</x:f>
        <x:v>防御／攻击费用转换</x:v>
      </x:c>
      <x:c r="G287" s="3" t="str">
        <x:f>'75张卡牌'!BS15</x:f>
        <x:v>定向检索／复制结算</x:v>
      </x:c>
    </x:row>
    <x:row r="288" ht="44" customHeight="1">
      <x:c r="A288" s="10" t="str">
        <x:v>时序／使用边界</x:v>
      </x:c>
      <x:c r="B288" s="11" t="str">
        <x:f>'75张卡牌'!BT17</x:f>
        <x:v>总基础伤害25→36；多敌人时可能分散。</x:v>
      </x:c>
      <x:c r="C288" s="11" t="str">
        <x:f>'75张卡牌'!BG17</x:f>
        <x:v>加成用于下一张攻击，而不是只给第一段；提前打小攻击会消耗它。</x:v>
      </x:c>
      <x:c r="D288" s="11" t="str">
        <x:f>'75张卡牌'!BU17</x:f>
        <x:v>通常手牌上限为10；实际抽牌数取决于剩余手牌。</x:v>
      </x:c>
      <x:c r="E288" s="11" t="str">
        <x:f>'75张卡牌'!BD17</x:f>
        <x:v>2费带来即时伤害与手牌补充。</x:v>
      </x:c>
      <x:c r="F288" s="11" t="str">
        <x:f>'75张卡牌'!AX17</x:f>
        <x:v>只替代下一张攻击的费用，不能让整个回合攻击免费。</x:v>
      </x:c>
      <x:c r="G288" s="11" t="str">
        <x:f>'75张卡牌'!BS17</x:f>
        <x:v>目标须在抽牌堆；重复结算会重复目标牌的副作用。</x:v>
      </x:c>
    </x:row>
    <x:row r="291" ht="28" customHeight="1">
      <x:c r="A291" s="34" t="str">
        <x:v>08  格挡与减益回报  ·  1—6 / 12</x:v>
      </x:c>
      <x:c r="B291" s="32"/>
      <x:c r="C291" s="32"/>
      <x:c r="D291" s="32"/>
      <x:c r="E291" s="32"/>
      <x:c r="F291" s="32"/>
      <x:c r="G291" s="32"/>
    </x:row>
    <x:row r="292" ht="30" customHeight="1">
      <x:c r="A292" s="16" t="str">
        <x:v>卡牌名</x:v>
      </x:c>
      <x:c r="B292" s="16" t="str">
        <x:f>'75张卡牌'!AY5</x:f>
        <x:v>以手拒之</x:v>
      </x:c>
      <x:c r="C292" s="16" t="str">
        <x:f>'75张卡牌'!AM5</x:f>
        <x:v>心灵堡垒</x:v>
      </x:c>
      <x:c r="D292" s="16" t="str">
        <x:f>'75张卡牌'!AN5</x:f>
        <x:v>涅槃</x:v>
      </x:c>
      <x:c r="E292" s="16" t="str">
        <x:f>'75张卡牌'!BB5</x:f>
        <x:v>摆手</x:v>
      </x:c>
      <x:c r="F292" s="16" t="str">
        <x:f>'75张卡牌'!BA5</x:f>
        <x:v>当头棒喝</x:v>
      </x:c>
      <x:c r="G292" s="17" t="str">
        <x:f>'75张卡牌'!AK5</x:f>
        <x:v>如水</x:v>
      </x:c>
    </x:row>
    <x:row r="293" ht="28" customHeight="1">
      <x:c r="A293" s="10" t="str">
        <x:v>包内职责 · 分析</x:v>
      </x:c>
      <x:c r="B293" s="35" t="str">
        <x:v>核心组件</x:v>
      </x:c>
      <x:c r="C293" s="35" t="str">
        <x:v>核心组件</x:v>
      </x:c>
      <x:c r="D293" s="35" t="str">
        <x:v>核心组件</x:v>
      </x:c>
      <x:c r="E293" s="35" t="str">
        <x:v>核心组件</x:v>
      </x:c>
      <x:c r="F293" s="35" t="str">
        <x:v>核心组件</x:v>
      </x:c>
      <x:c r="G293" s="35" t="str">
        <x:v>核心组件</x:v>
      </x:c>
    </x:row>
    <x:row r="294" ht="28" customHeight="1">
      <x:c r="A294" s="10" t="str">
        <x:v>英文名</x:v>
      </x:c>
      <x:c r="B294" s="3" t="str">
        <x:f>'75张卡牌'!AY6</x:f>
        <x:v>Talk to the Hand</x:v>
      </x:c>
      <x:c r="C294" s="3" t="str">
        <x:f>'75张卡牌'!AM6</x:f>
        <x:v>Mental Fortress</x:v>
      </x:c>
      <x:c r="D294" s="3" t="str">
        <x:f>'75张卡牌'!AN6</x:f>
        <x:v>Nirvana</x:v>
      </x:c>
      <x:c r="E294" s="3" t="str">
        <x:f>'75张卡牌'!BB6</x:f>
        <x:v>Wave of the Hand</x:v>
      </x:c>
      <x:c r="F294" s="3" t="str">
        <x:f>'75张卡牌'!BA6</x:f>
        <x:v>Wallop</x:v>
      </x:c>
      <x:c r="G294" s="3" t="str">
        <x:f>'75张卡牌'!AK6</x:f>
        <x:v>Like Water</x:v>
      </x:c>
    </x:row>
    <x:row r="295" ht="28" customHeight="1">
      <x:c r="A295" s="10" t="str">
        <x:v>类型／稀有度</x:v>
      </x:c>
      <x:c r="B295" s="11" t="str">
        <x:v>攻击 / 罕见</x:v>
      </x:c>
      <x:c r="C295" s="11" t="str">
        <x:v>能力 / 罕见</x:v>
      </x:c>
      <x:c r="D295" s="11" t="str">
        <x:v>能力 / 罕见</x:v>
      </x:c>
      <x:c r="E295" s="11" t="str">
        <x:v>技能 / 罕见</x:v>
      </x:c>
      <x:c r="F295" s="11" t="str">
        <x:v>攻击 / 罕见</x:v>
      </x:c>
      <x:c r="G295" s="11" t="str">
        <x:v>能力 / 罕见</x:v>
      </x:c>
    </x:row>
    <x:row r="296" ht="28" customHeight="1">
      <x:c r="A296" s="10" t="str">
        <x:v>费用 · 基础</x:v>
      </x:c>
      <x:c r="B296" s="20" t="n">
        <x:f>'75张卡牌'!AY9</x:f>
        <x:v>1</x:v>
      </x:c>
      <x:c r="C296" s="20" t="n">
        <x:f>'75张卡牌'!AM9</x:f>
        <x:v>1</x:v>
      </x:c>
      <x:c r="D296" s="20" t="n">
        <x:f>'75张卡牌'!AN9</x:f>
        <x:v>1</x:v>
      </x:c>
      <x:c r="E296" s="20" t="n">
        <x:f>'75张卡牌'!BB9</x:f>
        <x:v>1</x:v>
      </x:c>
      <x:c r="F296" s="20" t="n">
        <x:f>'75张卡牌'!BA9</x:f>
        <x:v>2</x:v>
      </x:c>
      <x:c r="G296" s="20" t="n">
        <x:f>'75张卡牌'!AK9</x:f>
        <x:v>1</x:v>
      </x:c>
    </x:row>
    <x:row r="297" ht="28" customHeight="1">
      <x:c r="A297" s="10" t="str">
        <x:v>费用 · 升级</x:v>
      </x:c>
      <x:c r="B297" s="21" t="n">
        <x:f>'75张卡牌'!AY10</x:f>
        <x:v>1</x:v>
      </x:c>
      <x:c r="C297" s="21" t="n">
        <x:f>'75张卡牌'!AM10</x:f>
        <x:v>1</x:v>
      </x:c>
      <x:c r="D297" s="21" t="n">
        <x:f>'75张卡牌'!AN10</x:f>
        <x:v>1</x:v>
      </x:c>
      <x:c r="E297" s="21" t="n">
        <x:f>'75张卡牌'!BB10</x:f>
        <x:v>1</x:v>
      </x:c>
      <x:c r="F297" s="21" t="n">
        <x:f>'75张卡牌'!BA10</x:f>
        <x:v>2</x:v>
      </x:c>
      <x:c r="G297" s="21" t="n">
        <x:f>'75张卡牌'!AK10</x:f>
        <x:v>1</x:v>
      </x:c>
    </x:row>
    <x:row r="298" ht="44" customHeight="1">
      <x:c r="A298" s="10" t="str">
        <x:v>基础效果</x:v>
      </x:c>
      <x:c r="B298" s="3" t="str">
        <x:f>'75张卡牌'!AY11</x:f>
        <x:v>对单个敌人造成5点伤害；此后每次攻击该敌人，获得2点格挡。消耗。</x:v>
      </x:c>
      <x:c r="C298" s="3" t="str">
        <x:f>'75张卡牌'!AM11</x:f>
        <x:v>每次切换姿态，获得4点格挡。</x:v>
      </x:c>
      <x:c r="D298" s="3" t="str">
        <x:f>'75张卡牌'!AN11</x:f>
        <x:v>每次占卜，获得3点格挡。</x:v>
      </x:c>
      <x:c r="E298" s="3" t="str">
        <x:f>'75张卡牌'!BB11</x:f>
        <x:v>本回合每次获得格挡，向所有敌人施加1层虚弱。</x:v>
      </x:c>
      <x:c r="F298" s="3" t="str">
        <x:f>'75张卡牌'!BA11</x:f>
        <x:v>对单个敌人造成9点伤害；获得等于未被格挡的伤害数值的格挡。</x:v>
      </x:c>
      <x:c r="G298" s="3" t="str">
        <x:f>'75张卡牌'!AK11</x:f>
        <x:v>你的回合结束时，若处于平静，获得5点格挡。</x:v>
      </x:c>
    </x:row>
    <x:row r="299" ht="44" customHeight="1">
      <x:c r="A299" s="10" t="str">
        <x:v>升级后完整效果</x:v>
      </x:c>
      <x:c r="B299" s="11" t="str">
        <x:f>'75张卡牌'!AY12</x:f>
        <x:v>对单个敌人造成7点伤害；此后每次攻击该敌人，获得3点格挡。消耗。</x:v>
      </x:c>
      <x:c r="C299" s="11" t="str">
        <x:f>'75张卡牌'!AM12</x:f>
        <x:v>每次切换姿态，获得6点格挡。</x:v>
      </x:c>
      <x:c r="D299" s="11" t="str">
        <x:f>'75张卡牌'!AN12</x:f>
        <x:v>每次占卜，获得4点格挡。</x:v>
      </x:c>
      <x:c r="E299" s="11" t="str">
        <x:f>'75张卡牌'!BB12</x:f>
        <x:v>本回合每次获得格挡，向所有敌人施加2层虚弱。</x:v>
      </x:c>
      <x:c r="F299" s="11" t="str">
        <x:f>'75张卡牌'!BA12</x:f>
        <x:v>对单个敌人造成12点伤害；获得等于未被格挡的伤害数值的格挡。</x:v>
      </x:c>
      <x:c r="G299" s="11" t="str">
        <x:f>'75张卡牌'!AK12</x:f>
        <x:v>你的回合结束时，若处于平静，获得7点格挡。</x:v>
      </x:c>
    </x:row>
    <x:row r="300" ht="28" customHeight="1">
      <x:c r="A300" s="22" t="str">
        <x:v>升级改动</x:v>
      </x:c>
      <x:c r="B300" s="23" t="str">
        <x:f>'75张卡牌'!AY13</x:f>
        <x:v>伤害5→7；每次格挡2→3</x:v>
      </x:c>
      <x:c r="C300" s="23" t="str">
        <x:f>'75张卡牌'!AM13</x:f>
        <x:v>每次格挡4→6</x:v>
      </x:c>
      <x:c r="D300" s="23" t="str">
        <x:f>'75张卡牌'!AN13</x:f>
        <x:v>每次格挡3→4</x:v>
      </x:c>
      <x:c r="E300" s="23" t="str">
        <x:f>'75张卡牌'!BB13</x:f>
        <x:v>每次虚弱1→2</x:v>
      </x:c>
      <x:c r="F300" s="23" t="str">
        <x:f>'75张卡牌'!BA13</x:f>
        <x:v>伤害9→12</x:v>
      </x:c>
      <x:c r="G300" s="23" t="str">
        <x:f>'75张卡牌'!AK13</x:f>
        <x:v>格挡5→7</x:v>
      </x:c>
    </x:row>
    <x:row r="301" ht="28" customHeight="1">
      <x:c r="A301" s="10" t="str">
        <x:v>关键词 · 基础</x:v>
      </x:c>
      <x:c r="B301" s="11" t="str">
        <x:f>'75张卡牌'!AY14</x:f>
        <x:v>消耗</x:v>
      </x:c>
      <x:c r="C301" s="11" t="str">
        <x:f>'75张卡牌'!AM14</x:f>
        <x:v>—</x:v>
      </x:c>
      <x:c r="D301" s="11" t="str">
        <x:f>'75张卡牌'!AN14</x:f>
        <x:v>占卜</x:v>
      </x:c>
      <x:c r="E301" s="11" t="str">
        <x:f>'75张卡牌'!BB14</x:f>
        <x:v>虚弱</x:v>
      </x:c>
      <x:c r="F301" s="11" t="str">
        <x:f>'75张卡牌'!BA14</x:f>
        <x:v>—</x:v>
      </x:c>
      <x:c r="G301" s="11" t="str">
        <x:f>'75张卡牌'!AK14</x:f>
        <x:v>平静</x:v>
      </x:c>
    </x:row>
    <x:row r="302" ht="28" customHeight="1">
      <x:c r="A302" s="10" t="str">
        <x:v>设计职责 · 分析</x:v>
      </x:c>
      <x:c r="B302" s="3" t="str">
        <x:f>'75张卡牌'!AY15</x:f>
        <x:v>攻击事件回报</x:v>
      </x:c>
      <x:c r="C302" s="3" t="str">
        <x:f>'75张卡牌'!AM15</x:f>
        <x:v>姿态切换回报</x:v>
      </x:c>
      <x:c r="D302" s="3" t="str">
        <x:f>'75张卡牌'!AN15</x:f>
        <x:v>筛牌事件回报</x:v>
      </x:c>
      <x:c r="E302" s="3" t="str">
        <x:f>'75张卡牌'!BB15</x:f>
        <x:v>防御事件回报</x:v>
      </x:c>
      <x:c r="F302" s="3" t="str">
        <x:f>'75张卡牌'!BA15</x:f>
        <x:v>攻击转防御</x:v>
      </x:c>
      <x:c r="G302" s="3" t="str">
        <x:f>'75张卡牌'!AK15</x:f>
        <x:v>姿态条件防御</x:v>
      </x:c>
    </x:row>
    <x:row r="303" ht="44" customHeight="1">
      <x:c r="A303" s="10" t="str">
        <x:v>时序／使用边界</x:v>
      </x:c>
      <x:c r="B303" s="11" t="str">
        <x:f>'75张卡牌'!AY17</x:f>
        <x:v>敌方减益可被人工制品阻挡；多段攻击按每段触发。</x:v>
      </x:c>
      <x:c r="C303" s="11" t="str">
        <x:f>'75张卡牌'!AM17</x:f>
        <x:v>重复进入当前姿态不算切换；可以与输出循环并行产防。</x:v>
      </x:c>
      <x:c r="D303" s="11" t="str">
        <x:f>'75张卡牌'!AN17</x:f>
        <x:v>按占卜事件次数结算，不按查看或弃掉的牌数。</x:v>
      </x:c>
      <x:c r="E303" s="11" t="str">
        <x:f>'75张卡牌'!BB17</x:f>
        <x:v>按获得格挡的次数触发，不按格挡量触发。</x:v>
      </x:c>
      <x:c r="F303" s="11" t="str">
        <x:f>'75张卡牌'!BA17</x:f>
        <x:v>只按穿过敌人格挡的伤害计算，不能直接按牌面伤害算。</x:v>
      </x:c>
      <x:c r="G303" s="11" t="str">
        <x:f>'75张卡牌'!AK17</x:f>
        <x:v>要求以平静结束回合，与立即退出平静取能形成取舍。</x:v>
      </x:c>
    </x:row>
    <x:row r="306" ht="28" customHeight="1">
      <x:c r="A306" s="34" t="str">
        <x:v>08  格挡与减益回报  ·  7—12 / 12</x:v>
      </x:c>
      <x:c r="B306" s="32"/>
      <x:c r="C306" s="32"/>
      <x:c r="D306" s="32"/>
      <x:c r="E306" s="32"/>
      <x:c r="F306" s="32"/>
      <x:c r="G306" s="32"/>
    </x:row>
    <x:row r="307" ht="30" customHeight="1">
      <x:c r="A307" s="16" t="str">
        <x:v>卡牌名</x:v>
      </x:c>
      <x:c r="B307" s="16" t="str">
        <x:f>'75张卡牌'!Q5</x:f>
        <x:v>停顿</x:v>
      </x:c>
      <x:c r="C307" s="16" t="str">
        <x:f>'75张卡牌'!BV5</x:f>
        <x:v>精神护盾</x:v>
      </x:c>
      <x:c r="D307" s="16" t="str">
        <x:f>'75张卡牌'!AO5</x:f>
        <x:v>坚韧</x:v>
      </x:c>
      <x:c r="E307" s="16" t="str">
        <x:f>'75张卡牌'!AC5</x:f>
        <x:v>欺瞒现实</x:v>
      </x:c>
      <x:c r="F307" s="16" t="str">
        <x:f>'75张卡牌'!AS5</x:f>
        <x:v>圣洁</x:v>
      </x:c>
      <x:c r="G307" s="17" t="str">
        <x:f>'75张卡牌'!V5</x:f>
        <x:v>腰带抽打</x:v>
      </x:c>
    </x:row>
    <x:row r="308" ht="28" customHeight="1">
      <x:c r="A308" s="10" t="str">
        <x:v>包内职责 · 分析</x:v>
      </x:c>
      <x:c r="B308" s="35" t="str">
        <x:v>可选补件</x:v>
      </x:c>
      <x:c r="C308" s="35" t="str">
        <x:v>可选补件</x:v>
      </x:c>
      <x:c r="D308" s="35" t="str">
        <x:v>可选补件</x:v>
      </x:c>
      <x:c r="E308" s="35" t="str">
        <x:v>可选补件</x:v>
      </x:c>
      <x:c r="F308" s="35" t="str">
        <x:v>可选补件</x:v>
      </x:c>
      <x:c r="G308" s="35" t="str">
        <x:v>可选补件</x:v>
      </x:c>
    </x:row>
    <x:row r="309" ht="28" customHeight="1">
      <x:c r="A309" s="10" t="str">
        <x:v>英文名</x:v>
      </x:c>
      <x:c r="B309" s="3" t="str">
        <x:f>'75张卡牌'!Q6</x:f>
        <x:v>Halt</x:v>
      </x:c>
      <x:c r="C309" s="3" t="str">
        <x:f>'75张卡牌'!BV6</x:f>
        <x:v>Spirit Shield</x:v>
      </x:c>
      <x:c r="D309" s="3" t="str">
        <x:f>'75张卡牌'!AO6</x:f>
        <x:v>Perseverance</x:v>
      </x:c>
      <x:c r="E309" s="3" t="str">
        <x:f>'75张卡牌'!AC6</x:f>
        <x:v>Deceive Reality</x:v>
      </x:c>
      <x:c r="F309" s="3" t="str">
        <x:f>'75张卡牌'!AS6</x:f>
        <x:v>Sanctity</x:v>
      </x:c>
      <x:c r="G309" s="3" t="str">
        <x:f>'75张卡牌'!V6</x:f>
        <x:v>Sash Whip</x:v>
      </x:c>
    </x:row>
    <x:row r="310" ht="28" customHeight="1">
      <x:c r="A310" s="10" t="str">
        <x:v>类型／稀有度</x:v>
      </x:c>
      <x:c r="B310" s="11" t="str">
        <x:v>技能 / 普通</x:v>
      </x:c>
      <x:c r="C310" s="11" t="str">
        <x:v>技能 / 稀有</x:v>
      </x:c>
      <x:c r="D310" s="11" t="str">
        <x:v>技能 / 罕见</x:v>
      </x:c>
      <x:c r="E310" s="11" t="str">
        <x:v>技能 / 罕见</x:v>
      </x:c>
      <x:c r="F310" s="11" t="str">
        <x:v>技能 / 罕见</x:v>
      </x:c>
      <x:c r="G310" s="11" t="str">
        <x:v>攻击 / 普通</x:v>
      </x:c>
    </x:row>
    <x:row r="311" ht="28" customHeight="1">
      <x:c r="A311" s="10" t="str">
        <x:v>费用 · 基础</x:v>
      </x:c>
      <x:c r="B311" s="20" t="n">
        <x:f>'75张卡牌'!Q9</x:f>
        <x:v>0</x:v>
      </x:c>
      <x:c r="C311" s="20" t="n">
        <x:f>'75张卡牌'!BV9</x:f>
        <x:v>2</x:v>
      </x:c>
      <x:c r="D311" s="20" t="n">
        <x:f>'75张卡牌'!AO9</x:f>
        <x:v>1</x:v>
      </x:c>
      <x:c r="E311" s="20" t="n">
        <x:f>'75张卡牌'!AC9</x:f>
        <x:v>1</x:v>
      </x:c>
      <x:c r="F311" s="20" t="n">
        <x:f>'75张卡牌'!AS9</x:f>
        <x:v>1</x:v>
      </x:c>
      <x:c r="G311" s="20" t="n">
        <x:f>'75张卡牌'!V9</x:f>
        <x:v>1</x:v>
      </x:c>
    </x:row>
    <x:row r="312" ht="28" customHeight="1">
      <x:c r="A312" s="10" t="str">
        <x:v>费用 · 升级</x:v>
      </x:c>
      <x:c r="B312" s="21" t="n">
        <x:f>'75张卡牌'!Q10</x:f>
        <x:v>0</x:v>
      </x:c>
      <x:c r="C312" s="21" t="n">
        <x:f>'75张卡牌'!BV10</x:f>
        <x:v>2</x:v>
      </x:c>
      <x:c r="D312" s="21" t="n">
        <x:f>'75张卡牌'!AO10</x:f>
        <x:v>1</x:v>
      </x:c>
      <x:c r="E312" s="21" t="n">
        <x:f>'75张卡牌'!AC10</x:f>
        <x:v>1</x:v>
      </x:c>
      <x:c r="F312" s="21" t="n">
        <x:f>'75张卡牌'!AS10</x:f>
        <x:v>1</x:v>
      </x:c>
      <x:c r="G312" s="21" t="n">
        <x:f>'75张卡牌'!V10</x:f>
        <x:v>1</x:v>
      </x:c>
    </x:row>
    <x:row r="313" ht="44" customHeight="1">
      <x:c r="A313" s="10" t="str">
        <x:v>基础效果</x:v>
      </x:c>
      <x:c r="B313" s="3" t="str">
        <x:f>'75张卡牌'!Q11</x:f>
        <x:v>获得3点格挡；处于愤怒时，再获得9点格挡。</x:v>
      </x:c>
      <x:c r="C313" s="3" t="str">
        <x:f>'75张卡牌'!BV11</x:f>
        <x:v>手牌中每有1张牌，就获得3点格挡。</x:v>
      </x:c>
      <x:c r="D313" s="3" t="str">
        <x:f>'75张卡牌'!AO11</x:f>
        <x:v>保留。获得5点格挡；每次此牌被保留，其格挡增加2。</x:v>
      </x:c>
      <x:c r="E313" s="3" t="str">
        <x:f>'75张卡牌'!AC11</x:f>
        <x:v>获得4点格挡；将1张平安加入手牌。</x:v>
      </x:c>
      <x:c r="F313" s="3" t="str">
        <x:f>'75张卡牌'!AS11</x:f>
        <x:v>获得6点格挡；若上一张打出的牌是技能，抽2张牌。</x:v>
      </x:c>
      <x:c r="G313" s="3" t="str">
        <x:f>'75张卡牌'!V11</x:f>
        <x:v>对单个敌人造成8点伤害；若上一张打出的牌是攻击，施加1层虚弱。</x:v>
      </x:c>
    </x:row>
    <x:row r="314" ht="44" customHeight="1">
      <x:c r="A314" s="10" t="str">
        <x:v>升级后完整效果</x:v>
      </x:c>
      <x:c r="B314" s="11" t="str">
        <x:f>'75张卡牌'!Q12</x:f>
        <x:v>获得4点格挡；处于愤怒时，再获得14点格挡。</x:v>
      </x:c>
      <x:c r="C314" s="11" t="str">
        <x:f>'75张卡牌'!BV12</x:f>
        <x:v>手牌中每有1张牌，就获得4点格挡。</x:v>
      </x:c>
      <x:c r="D314" s="11" t="str">
        <x:f>'75张卡牌'!AO12</x:f>
        <x:v>保留。获得7点格挡；每次此牌被保留，其格挡增加3。</x:v>
      </x:c>
      <x:c r="E314" s="11" t="str">
        <x:f>'75张卡牌'!AC12</x:f>
        <x:v>获得7点格挡；将1张平安加入手牌。</x:v>
      </x:c>
      <x:c r="F314" s="11" t="str">
        <x:f>'75张卡牌'!AS12</x:f>
        <x:v>获得9点格挡；若上一张打出的牌是技能，抽2张牌。</x:v>
      </x:c>
      <x:c r="G314" s="11" t="str">
        <x:f>'75张卡牌'!V12</x:f>
        <x:v>对单个敌人造成10点伤害；若上一张打出的牌是攻击，施加2层虚弱。</x:v>
      </x:c>
    </x:row>
    <x:row r="315" ht="28" customHeight="1">
      <x:c r="A315" s="22" t="str">
        <x:v>升级改动</x:v>
      </x:c>
      <x:c r="B315" s="23" t="str">
        <x:f>'75张卡牌'!Q13</x:f>
        <x:v>基础格挡3→4；额外9→14</x:v>
      </x:c>
      <x:c r="C315" s="23" t="str">
        <x:f>'75张卡牌'!BV13</x:f>
        <x:v>每张格挡3→4</x:v>
      </x:c>
      <x:c r="D315" s="23" t="str">
        <x:f>'75张卡牌'!AO13</x:f>
        <x:v>基础格挡5→7；每次增长2→3</x:v>
      </x:c>
      <x:c r="E315" s="23" t="str">
        <x:f>'75张卡牌'!AC13</x:f>
        <x:v>格挡4→7</x:v>
      </x:c>
      <x:c r="F315" s="23" t="str">
        <x:f>'75张卡牌'!AS13</x:f>
        <x:v>格挡6→9</x:v>
      </x:c>
      <x:c r="G315" s="23" t="str">
        <x:f>'75张卡牌'!V13</x:f>
        <x:v>伤害8→10；虚弱1→2</x:v>
      </x:c>
    </x:row>
    <x:row r="316" ht="28" customHeight="1">
      <x:c r="A316" s="10" t="str">
        <x:v>关键词 · 基础</x:v>
      </x:c>
      <x:c r="B316" s="11" t="str">
        <x:f>'75张卡牌'!Q14</x:f>
        <x:v>愤怒</x:v>
      </x:c>
      <x:c r="C316" s="11" t="str">
        <x:f>'75张卡牌'!BV14</x:f>
        <x:v>—</x:v>
      </x:c>
      <x:c r="D316" s="11" t="str">
        <x:f>'75张卡牌'!AO14</x:f>
        <x:v>保留</x:v>
      </x:c>
      <x:c r="E316" s="11" t="str">
        <x:f>'75张卡牌'!AC14</x:f>
        <x:v>—</x:v>
      </x:c>
      <x:c r="F316" s="11" t="str">
        <x:f>'75张卡牌'!AS14</x:f>
        <x:v>—</x:v>
      </x:c>
      <x:c r="G316" s="11" t="str">
        <x:f>'75张卡牌'!V14</x:f>
        <x:v>虚弱</x:v>
      </x:c>
    </x:row>
    <x:row r="317" ht="28" customHeight="1">
      <x:c r="A317" s="10" t="str">
        <x:v>设计职责 · 分析</x:v>
      </x:c>
      <x:c r="B317" s="3" t="str">
        <x:f>'75张卡牌'!Q15</x:f>
        <x:v>姿态条件防御</x:v>
      </x:c>
      <x:c r="C317" s="3" t="str">
        <x:f>'75张卡牌'!BV15</x:f>
        <x:v>手牌数量转防御</x:v>
      </x:c>
      <x:c r="D317" s="3" t="str">
        <x:f>'75张卡牌'!AO15</x:f>
        <x:v>保留成长防御</x:v>
      </x:c>
      <x:c r="E317" s="3" t="str">
        <x:f>'75张卡牌'!AC15</x:f>
        <x:v>分段防御／生成</x:v>
      </x:c>
      <x:c r="F317" s="3" t="str">
        <x:f>'75张卡牌'!AS15</x:f>
        <x:v>条件抽牌／防御</x:v>
      </x:c>
      <x:c r="G317" s="3" t="str">
        <x:f>'75张卡牌'!V15</x:f>
        <x:v>输出／减益</x:v>
      </x:c>
    </x:row>
    <x:row r="318" ht="44" customHeight="1">
      <x:c r="A318" s="10" t="str">
        <x:v>时序／使用边界</x:v>
      </x:c>
      <x:c r="B318" s="11" t="str">
        <x:f>'75张卡牌'!Q17</x:f>
        <x:v>愤怒下无修正总格挡12→18；额外部分单独结算。</x:v>
      </x:c>
      <x:c r="C318" s="11" t="str">
        <x:f>'75张卡牌'!BV17</x:f>
        <x:v>结算时不把已打出的精神护盾本身算作剩余手牌。</x:v>
      </x:c>
      <x:c r="D318" s="11" t="str">
        <x:f>'75张卡牌'!AO17</x:f>
        <x:v>成长在保留结算时发生；本战斗内持续。</x:v>
      </x:c>
      <x:c r="E318" s="11" t="str">
        <x:f>'75张卡牌'!AC17</x:f>
        <x:v>升级不提高平安等级；第一段即时，第二段可保留。</x:v>
      </x:c>
      <x:c r="F318" s="11" t="str">
        <x:f>'75张卡牌'!AS17</x:f>
        <x:v>抽牌量不随升级增加；需要前置技能牌。</x:v>
      </x:c>
      <x:c r="G318" s="11" t="str">
        <x:f>'75张卡牌'!V17</x:f>
        <x:v>按上一张牌类型触发，不能跳过中间的技能牌。</x:v>
      </x:c>
    </x:row>
    <x:row r="321" ht="28" customHeight="1">
      <x:c r="A321" s="34" t="str">
        <x:v>09  点穴叠层  ·  1—6 / 7</x:v>
      </x:c>
      <x:c r="B321" s="32"/>
      <x:c r="C321" s="32"/>
      <x:c r="D321" s="32"/>
      <x:c r="E321" s="32"/>
      <x:c r="F321" s="32"/>
      <x:c r="G321" s="32"/>
    </x:row>
    <x:row r="322" ht="30" customHeight="1">
      <x:c r="A322" s="16" t="str">
        <x:v>卡牌名</x:v>
      </x:c>
      <x:c r="B322" s="16" t="str">
        <x:f>'75张卡牌'!S5</x:f>
        <x:v>点穴</x:v>
      </x:c>
      <x:c r="C322" s="16" t="str">
        <x:f>'75张卡牌'!AL5</x:f>
        <x:v>冥想</x:v>
      </x:c>
      <x:c r="D322" s="16" t="str">
        <x:f>'75张卡牌'!AJ5</x:f>
        <x:v>内心宁静</x:v>
      </x:c>
      <x:c r="E322" s="16" t="str">
        <x:f>'75张卡牌'!AD5</x:f>
        <x:v>化智为空</x:v>
      </x:c>
      <x:c r="F322" s="16" t="str">
        <x:f>'75张卡牌'!AS5</x:f>
        <x:v>圣洁</x:v>
      </x:c>
      <x:c r="G322" s="17" t="str">
        <x:f>'75张卡牌'!W5</x:f>
        <x:v>天眼</x:v>
      </x:c>
    </x:row>
    <x:row r="323" ht="28" customHeight="1">
      <x:c r="A323" s="10" t="str">
        <x:v>包内职责 · 分析</x:v>
      </x:c>
      <x:c r="B323" s="35" t="str">
        <x:v>核心组件</x:v>
      </x:c>
      <x:c r="C323" s="35" t="str">
        <x:v>可选补件</x:v>
      </x:c>
      <x:c r="D323" s="35" t="str">
        <x:v>可选补件</x:v>
      </x:c>
      <x:c r="E323" s="35" t="str">
        <x:v>可选补件</x:v>
      </x:c>
      <x:c r="F323" s="35" t="str">
        <x:v>可选补件</x:v>
      </x:c>
      <x:c r="G323" s="35" t="str">
        <x:v>可选补件</x:v>
      </x:c>
    </x:row>
    <x:row r="324" ht="28" customHeight="1">
      <x:c r="A324" s="10" t="str">
        <x:v>英文名</x:v>
      </x:c>
      <x:c r="B324" s="3" t="str">
        <x:f>'75张卡牌'!S6</x:f>
        <x:v>Pressure Points</x:v>
      </x:c>
      <x:c r="C324" s="3" t="str">
        <x:f>'75张卡牌'!AL6</x:f>
        <x:v>Meditate</x:v>
      </x:c>
      <x:c r="D324" s="3" t="str">
        <x:f>'75张卡牌'!AJ6</x:f>
        <x:v>Inner Peace</x:v>
      </x:c>
      <x:c r="E324" s="3" t="str">
        <x:f>'75张卡牌'!AD6</x:f>
        <x:v>Empty Mind</x:v>
      </x:c>
      <x:c r="F324" s="3" t="str">
        <x:f>'75张卡牌'!AS6</x:f>
        <x:v>Sanctity</x:v>
      </x:c>
      <x:c r="G324" s="3" t="str">
        <x:f>'75张卡牌'!W6</x:f>
        <x:v>Third Eye</x:v>
      </x:c>
    </x:row>
    <x:row r="325" ht="28" customHeight="1">
      <x:c r="A325" s="10" t="str">
        <x:v>类型／稀有度</x:v>
      </x:c>
      <x:c r="B325" s="11" t="str">
        <x:v>技能 / 普通</x:v>
      </x:c>
      <x:c r="C325" s="11" t="str">
        <x:v>技能 / 罕见</x:v>
      </x:c>
      <x:c r="D325" s="11" t="str">
        <x:v>技能 / 罕见</x:v>
      </x:c>
      <x:c r="E325" s="11" t="str">
        <x:v>技能 / 罕见</x:v>
      </x:c>
      <x:c r="F325" s="11" t="str">
        <x:v>技能 / 罕见</x:v>
      </x:c>
      <x:c r="G325" s="11" t="str">
        <x:v>技能 / 普通</x:v>
      </x:c>
    </x:row>
    <x:row r="326" ht="28" customHeight="1">
      <x:c r="A326" s="10" t="str">
        <x:v>费用 · 基础</x:v>
      </x:c>
      <x:c r="B326" s="20" t="n">
        <x:f>'75张卡牌'!S9</x:f>
        <x:v>1</x:v>
      </x:c>
      <x:c r="C326" s="20" t="n">
        <x:f>'75张卡牌'!AL9</x:f>
        <x:v>1</x:v>
      </x:c>
      <x:c r="D326" s="20" t="n">
        <x:f>'75张卡牌'!AJ9</x:f>
        <x:v>1</x:v>
      </x:c>
      <x:c r="E326" s="20" t="n">
        <x:f>'75张卡牌'!AD9</x:f>
        <x:v>1</x:v>
      </x:c>
      <x:c r="F326" s="20" t="n">
        <x:f>'75张卡牌'!AS9</x:f>
        <x:v>1</x:v>
      </x:c>
      <x:c r="G326" s="20" t="n">
        <x:f>'75张卡牌'!W9</x:f>
        <x:v>1</x:v>
      </x:c>
    </x:row>
    <x:row r="327" ht="28" customHeight="1">
      <x:c r="A327" s="10" t="str">
        <x:v>费用 · 升级</x:v>
      </x:c>
      <x:c r="B327" s="21" t="n">
        <x:f>'75张卡牌'!S10</x:f>
        <x:v>1</x:v>
      </x:c>
      <x:c r="C327" s="21" t="n">
        <x:f>'75张卡牌'!AL10</x:f>
        <x:v>1</x:v>
      </x:c>
      <x:c r="D327" s="21" t="n">
        <x:f>'75张卡牌'!AJ10</x:f>
        <x:v>1</x:v>
      </x:c>
      <x:c r="E327" s="21" t="n">
        <x:f>'75张卡牌'!AD10</x:f>
        <x:v>1</x:v>
      </x:c>
      <x:c r="F327" s="21" t="n">
        <x:f>'75张卡牌'!AS10</x:f>
        <x:v>1</x:v>
      </x:c>
      <x:c r="G327" s="21" t="n">
        <x:f>'75张卡牌'!W10</x:f>
        <x:v>1</x:v>
      </x:c>
    </x:row>
    <x:row r="328" ht="44" customHeight="1">
      <x:c r="A328" s="10" t="str">
        <x:v>基础效果</x:v>
      </x:c>
      <x:c r="B328" s="3" t="str">
        <x:f>'75张卡牌'!S11</x:f>
        <x:v>对单个敌人施加8层印记；所有敌人失去等于各自印记层数的生命。</x:v>
      </x:c>
      <x:c r="C328" s="3" t="str">
        <x:f>'75张卡牌'!AL11</x:f>
        <x:v>从弃牌堆选1张牌放入手牌并保留；进入平静；结束回合。</x:v>
      </x:c>
      <x:c r="D328" s="3" t="str">
        <x:f>'75张卡牌'!AJ11</x:f>
        <x:v>若已处于平静，抽3张牌；否则进入平静。</x:v>
      </x:c>
      <x:c r="E328" s="3" t="str">
        <x:f>'75张卡牌'!AD11</x:f>
        <x:v>抽2张牌；退出当前姿态。</x:v>
      </x:c>
      <x:c r="F328" s="3" t="str">
        <x:f>'75张卡牌'!AS11</x:f>
        <x:v>获得6点格挡；若上一张打出的牌是技能，抽2张牌。</x:v>
      </x:c>
      <x:c r="G328" s="3" t="str">
        <x:f>'75张卡牌'!W11</x:f>
        <x:v>获得7点格挡；占卜3。</x:v>
      </x:c>
    </x:row>
    <x:row r="329" ht="44" customHeight="1">
      <x:c r="A329" s="10" t="str">
        <x:v>升级后完整效果</x:v>
      </x:c>
      <x:c r="B329" s="11" t="str">
        <x:f>'75张卡牌'!S12</x:f>
        <x:v>对单个敌人施加11层印记；所有敌人失去等于各自印记层数的生命。</x:v>
      </x:c>
      <x:c r="C329" s="11" t="str">
        <x:f>'75张卡牌'!AL12</x:f>
        <x:v>从弃牌堆选2张牌放入手牌并保留；进入平静；结束回合。</x:v>
      </x:c>
      <x:c r="D329" s="11" t="str">
        <x:f>'75张卡牌'!AJ12</x:f>
        <x:v>若已处于平静，抽4张牌；否则进入平静。</x:v>
      </x:c>
      <x:c r="E329" s="11" t="str">
        <x:f>'75张卡牌'!AD12</x:f>
        <x:v>抽3张牌；退出当前姿态。</x:v>
      </x:c>
      <x:c r="F329" s="11" t="str">
        <x:f>'75张卡牌'!AS12</x:f>
        <x:v>获得9点格挡；若上一张打出的牌是技能，抽2张牌。</x:v>
      </x:c>
      <x:c r="G329" s="11" t="str">
        <x:f>'75张卡牌'!W12</x:f>
        <x:v>获得9点格挡；占卜5。</x:v>
      </x:c>
    </x:row>
    <x:row r="330" ht="28" customHeight="1">
      <x:c r="A330" s="22" t="str">
        <x:v>升级改动</x:v>
      </x:c>
      <x:c r="B330" s="23" t="str">
        <x:f>'75张卡牌'!S13</x:f>
        <x:v>印记8→11</x:v>
      </x:c>
      <x:c r="C330" s="23" t="str">
        <x:f>'75张卡牌'!AL13</x:f>
        <x:v>回收1→2张</x:v>
      </x:c>
      <x:c r="D330" s="23" t="str">
        <x:f>'75张卡牌'!AJ13</x:f>
        <x:v>抽牌3→4</x:v>
      </x:c>
      <x:c r="E330" s="23" t="str">
        <x:f>'75张卡牌'!AD13</x:f>
        <x:v>抽牌2→3</x:v>
      </x:c>
      <x:c r="F330" s="23" t="str">
        <x:f>'75张卡牌'!AS13</x:f>
        <x:v>格挡6→9</x:v>
      </x:c>
      <x:c r="G330" s="23" t="str">
        <x:f>'75张卡牌'!W13</x:f>
        <x:v>格挡7→9；占卜3→5</x:v>
      </x:c>
    </x:row>
    <x:row r="331" ht="28" customHeight="1">
      <x:c r="A331" s="10" t="str">
        <x:v>关键词 · 基础</x:v>
      </x:c>
      <x:c r="B331" s="11" t="str">
        <x:f>'75张卡牌'!S14</x:f>
        <x:v>印记</x:v>
      </x:c>
      <x:c r="C331" s="11" t="str">
        <x:f>'75张卡牌'!AL14</x:f>
        <x:v>保留、平静</x:v>
      </x:c>
      <x:c r="D331" s="11" t="str">
        <x:f>'75张卡牌'!AJ14</x:f>
        <x:v>平静</x:v>
      </x:c>
      <x:c r="E331" s="11" t="str">
        <x:f>'75张卡牌'!AD14</x:f>
        <x:v>—</x:v>
      </x:c>
      <x:c r="F331" s="11" t="str">
        <x:f>'75张卡牌'!AS14</x:f>
        <x:v>—</x:v>
      </x:c>
      <x:c r="G331" s="11" t="str">
        <x:f>'75张卡牌'!W14</x:f>
        <x:v>占卜</x:v>
      </x:c>
    </x:row>
    <x:row r="332" ht="28" customHeight="1">
      <x:c r="A332" s="10" t="str">
        <x:v>设计职责 · 分析</x:v>
      </x:c>
      <x:c r="B332" s="3" t="str">
        <x:f>'75张卡牌'!S15</x:f>
        <x:v>叠层／全场兑现</x:v>
      </x:c>
      <x:c r="C332" s="3" t="str">
        <x:f>'75张卡牌'!AL15</x:f>
        <x:v>定向回收／保留／姿态入口</x:v>
      </x:c>
      <x:c r="D332" s="3" t="str">
        <x:f>'75张卡牌'!AJ15</x:f>
        <x:v>姿态入口／状态内抽牌</x:v>
      </x:c>
      <x:c r="E332" s="3" t="str">
        <x:f>'75张卡牌'!AD15</x:f>
        <x:v>抽牌／姿态出口</x:v>
      </x:c>
      <x:c r="F332" s="3" t="str">
        <x:f>'75张卡牌'!AS15</x:f>
        <x:v>条件抽牌／防御</x:v>
      </x:c>
      <x:c r="G332" s="3" t="str">
        <x:f>'75张卡牌'!W15</x:f>
        <x:v>防御／筛牌</x:v>
      </x:c>
    </x:row>
    <x:row r="333" ht="44" customHeight="1">
      <x:c r="A333" s="10" t="str">
        <x:v>时序／使用边界</x:v>
      </x:c>
      <x:c r="B333" s="11" t="str">
        <x:f>'75张卡牌'!S17</x:f>
        <x:v>生命流失不是攻击伤害；不吃愤怒、神格、力量或易伤加成。</x:v>
      </x:c>
      <x:c r="C333" s="11" t="str">
        <x:f>'75张卡牌'!AL17</x:f>
        <x:v>赋予该次回合结束的保留，不是永久增加保留关键词。</x:v>
      </x:c>
      <x:c r="D333" s="11" t="str">
        <x:f>'75张卡牌'!AJ17</x:f>
        <x:v>入平静与抽牌为互斥分支；不能将入平静视为抽牌。</x:v>
      </x:c>
      <x:c r="E333" s="11" t="str">
        <x:f>'75张卡牌'!AD17</x:f>
        <x:v>实际先抽牌再退出；英文聚合页顺序简写与此不同。</x:v>
      </x:c>
      <x:c r="F333" s="11" t="str">
        <x:f>'75张卡牌'!AS17</x:f>
        <x:v>抽牌量不随升级增加；需要前置技能牌。</x:v>
      </x:c>
      <x:c r="G333" s="11" t="str">
        <x:f>'75张卡牌'!W17</x:f>
        <x:v>不直接抽牌；可为后续抽牌或下一回合准备。</x:v>
      </x:c>
    </x:row>
    <x:row r="336" ht="28" customHeight="1">
      <x:c r="A336" s="34" t="str">
        <x:v>09  点穴叠层  ·  7—7 / 7</x:v>
      </x:c>
      <x:c r="B336" s="32"/>
      <x:c r="C336" s="32"/>
      <x:c r="D336" s="32"/>
      <x:c r="E336" s="32"/>
      <x:c r="F336" s="32"/>
      <x:c r="G336" s="32"/>
    </x:row>
    <x:row r="337" ht="30" customHeight="1">
      <x:c r="A337" s="16" t="str">
        <x:v>卡牌名</x:v>
      </x:c>
      <x:c r="B337" s="17" t="str">
        <x:f>'75张卡牌'!AK5</x:f>
        <x:v>如水</x:v>
      </x:c>
    </x:row>
    <x:row r="338" ht="28" customHeight="1">
      <x:c r="A338" s="10" t="str">
        <x:v>包内职责 · 分析</x:v>
      </x:c>
      <x:c r="B338" s="35" t="str">
        <x:v>可选补件</x:v>
      </x:c>
    </x:row>
    <x:row r="339" ht="28" customHeight="1">
      <x:c r="A339" s="10" t="str">
        <x:v>英文名</x:v>
      </x:c>
      <x:c r="B339" s="3" t="str">
        <x:f>'75张卡牌'!AK6</x:f>
        <x:v>Like Water</x:v>
      </x:c>
    </x:row>
    <x:row r="340" ht="28" customHeight="1">
      <x:c r="A340" s="10" t="str">
        <x:v>类型／稀有度</x:v>
      </x:c>
      <x:c r="B340" s="11" t="str">
        <x:v>能力 / 罕见</x:v>
      </x:c>
    </x:row>
    <x:row r="341" ht="28" customHeight="1">
      <x:c r="A341" s="10" t="str">
        <x:v>费用 · 基础</x:v>
      </x:c>
      <x:c r="B341" s="20" t="n">
        <x:f>'75张卡牌'!AK9</x:f>
        <x:v>1</x:v>
      </x:c>
    </x:row>
    <x:row r="342" ht="28" customHeight="1">
      <x:c r="A342" s="10" t="str">
        <x:v>费用 · 升级</x:v>
      </x:c>
      <x:c r="B342" s="21" t="n">
        <x:f>'75张卡牌'!AK10</x:f>
        <x:v>1</x:v>
      </x:c>
    </x:row>
    <x:row r="343" ht="44" customHeight="1">
      <x:c r="A343" s="10" t="str">
        <x:v>基础效果</x:v>
      </x:c>
      <x:c r="B343" s="3" t="str">
        <x:f>'75张卡牌'!AK11</x:f>
        <x:v>你的回合结束时，若处于平静，获得5点格挡。</x:v>
      </x:c>
    </x:row>
    <x:row r="344" ht="44" customHeight="1">
      <x:c r="A344" s="10" t="str">
        <x:v>升级后完整效果</x:v>
      </x:c>
      <x:c r="B344" s="11" t="str">
        <x:f>'75张卡牌'!AK12</x:f>
        <x:v>你的回合结束时，若处于平静，获得7点格挡。</x:v>
      </x:c>
    </x:row>
    <x:row r="345" ht="28" customHeight="1">
      <x:c r="A345" s="22" t="str">
        <x:v>升级改动</x:v>
      </x:c>
      <x:c r="B345" s="23" t="str">
        <x:f>'75张卡牌'!AK13</x:f>
        <x:v>格挡5→7</x:v>
      </x:c>
    </x:row>
    <x:row r="346" ht="28" customHeight="1">
      <x:c r="A346" s="10" t="str">
        <x:v>关键词 · 基础</x:v>
      </x:c>
      <x:c r="B346" s="11" t="str">
        <x:f>'75张卡牌'!AK14</x:f>
        <x:v>平静</x:v>
      </x:c>
    </x:row>
    <x:row r="347" ht="28" customHeight="1">
      <x:c r="A347" s="10" t="str">
        <x:v>设计职责 · 分析</x:v>
      </x:c>
      <x:c r="B347" s="3" t="str">
        <x:f>'75张卡牌'!AK15</x:f>
        <x:v>姿态条件防御</x:v>
      </x:c>
    </x:row>
    <x:row r="348" ht="44" customHeight="1">
      <x:c r="A348" s="10" t="str">
        <x:v>时序／使用边界</x:v>
      </x:c>
      <x:c r="B348" s="11" t="str">
        <x:f>'75张卡牌'!AK17</x:f>
        <x:v>要求以平静结束回合，与立即退出平静取能形成取舍。</x:v>
      </x:c>
    </x:row>
    <x:row r="351" ht="28" customHeight="1">
      <x:c r="A351" s="34" t="str">
        <x:v>10  阿尔法与全知  ·  1—6 / 9</x:v>
      </x:c>
      <x:c r="B351" s="32"/>
      <x:c r="C351" s="32"/>
      <x:c r="D351" s="32"/>
      <x:c r="E351" s="32"/>
      <x:c r="F351" s="32"/>
      <x:c r="G351" s="32"/>
    </x:row>
    <x:row r="352" ht="30" customHeight="1">
      <x:c r="A352" s="16" t="str">
        <x:v>卡牌名</x:v>
      </x:c>
      <x:c r="B352" s="16" t="str">
        <x:f>'75张卡牌'!BH5</x:f>
        <x:v>阿尔法</x:v>
      </x:c>
      <x:c r="C352" s="16" t="str">
        <x:f>'75张卡牌'!BS5</x:f>
        <x:v>通晓万物</x:v>
      </x:c>
      <x:c r="D352" s="16" t="str">
        <x:f>'75张卡牌'!BR5</x:f>
        <x:v>操控现实</x:v>
      </x:c>
      <x:c r="E352" s="16" t="str">
        <x:f>'75张卡牌'!BU5</x:f>
        <x:v>潦草急就</x:v>
      </x:c>
      <x:c r="F352" s="16" t="str">
        <x:f>'75张卡牌'!BW5</x:f>
        <x:v>腾跃</x:v>
      </x:c>
      <x:c r="G352" s="17" t="str">
        <x:f>'75张卡牌'!AL5</x:f>
        <x:v>冥想</x:v>
      </x:c>
    </x:row>
    <x:row r="353" ht="28" customHeight="1">
      <x:c r="A353" s="10" t="str">
        <x:v>包内职责 · 分析</x:v>
      </x:c>
      <x:c r="B353" s="35" t="str">
        <x:v>核心组件</x:v>
      </x:c>
      <x:c r="C353" s="35" t="str">
        <x:v>核心组件</x:v>
      </x:c>
      <x:c r="D353" s="35" t="str">
        <x:v>可选补件</x:v>
      </x:c>
      <x:c r="E353" s="35" t="str">
        <x:v>可选补件</x:v>
      </x:c>
      <x:c r="F353" s="35" t="str">
        <x:v>可选补件</x:v>
      </x:c>
      <x:c r="G353" s="35" t="str">
        <x:v>可选补件</x:v>
      </x:c>
    </x:row>
    <x:row r="354" ht="28" customHeight="1">
      <x:c r="A354" s="10" t="str">
        <x:v>英文名</x:v>
      </x:c>
      <x:c r="B354" s="3" t="str">
        <x:f>'75张卡牌'!BH6</x:f>
        <x:v>Alpha</x:v>
      </x:c>
      <x:c r="C354" s="3" t="str">
        <x:f>'75张卡牌'!BS6</x:f>
        <x:v>Omniscience</x:v>
      </x:c>
      <x:c r="D354" s="3" t="str">
        <x:f>'75张卡牌'!BR6</x:f>
        <x:v>Master Reality</x:v>
      </x:c>
      <x:c r="E354" s="3" t="str">
        <x:f>'75张卡牌'!BU6</x:f>
        <x:v>Scrawl</x:v>
      </x:c>
      <x:c r="F354" s="3" t="str">
        <x:f>'75张卡牌'!BW6</x:f>
        <x:v>Vault</x:v>
      </x:c>
      <x:c r="G354" s="3" t="str">
        <x:f>'75张卡牌'!AL6</x:f>
        <x:v>Meditate</x:v>
      </x:c>
    </x:row>
    <x:row r="355" ht="28" customHeight="1">
      <x:c r="A355" s="10" t="str">
        <x:v>类型／稀有度</x:v>
      </x:c>
      <x:c r="B355" s="11" t="str">
        <x:v>技能 / 稀有</x:v>
      </x:c>
      <x:c r="C355" s="11" t="str">
        <x:v>技能 / 稀有</x:v>
      </x:c>
      <x:c r="D355" s="11" t="str">
        <x:v>能力 / 稀有</x:v>
      </x:c>
      <x:c r="E355" s="11" t="str">
        <x:v>技能 / 稀有</x:v>
      </x:c>
      <x:c r="F355" s="11" t="str">
        <x:v>技能 / 稀有</x:v>
      </x:c>
      <x:c r="G355" s="11" t="str">
        <x:v>技能 / 罕见</x:v>
      </x:c>
    </x:row>
    <x:row r="356" ht="28" customHeight="1">
      <x:c r="A356" s="10" t="str">
        <x:v>费用 · 基础</x:v>
      </x:c>
      <x:c r="B356" s="20" t="n">
        <x:f>'75张卡牌'!BH9</x:f>
        <x:v>1</x:v>
      </x:c>
      <x:c r="C356" s="20" t="n">
        <x:f>'75张卡牌'!BS9</x:f>
        <x:v>4</x:v>
      </x:c>
      <x:c r="D356" s="20" t="n">
        <x:f>'75张卡牌'!BR9</x:f>
        <x:v>1</x:v>
      </x:c>
      <x:c r="E356" s="20" t="n">
        <x:f>'75张卡牌'!BU9</x:f>
        <x:v>1</x:v>
      </x:c>
      <x:c r="F356" s="20" t="n">
        <x:f>'75张卡牌'!BW9</x:f>
        <x:v>3</x:v>
      </x:c>
      <x:c r="G356" s="20" t="n">
        <x:f>'75张卡牌'!AL9</x:f>
        <x:v>1</x:v>
      </x:c>
    </x:row>
    <x:row r="357" ht="28" customHeight="1">
      <x:c r="A357" s="10" t="str">
        <x:v>费用 · 升级</x:v>
      </x:c>
      <x:c r="B357" s="21" t="n">
        <x:f>'75张卡牌'!BH10</x:f>
        <x:v>1</x:v>
      </x:c>
      <x:c r="C357" s="21" t="n">
        <x:f>'75张卡牌'!BS10</x:f>
        <x:v>3</x:v>
      </x:c>
      <x:c r="D357" s="21" t="n">
        <x:f>'75张卡牌'!BR10</x:f>
        <x:v>0</x:v>
      </x:c>
      <x:c r="E357" s="21" t="n">
        <x:f>'75张卡牌'!BU10</x:f>
        <x:v>0</x:v>
      </x:c>
      <x:c r="F357" s="21" t="n">
        <x:f>'75张卡牌'!BW10</x:f>
        <x:v>2</x:v>
      </x:c>
      <x:c r="G357" s="21" t="n">
        <x:f>'75张卡牌'!AL10</x:f>
        <x:v>1</x:v>
      </x:c>
    </x:row>
    <x:row r="358" ht="44" customHeight="1">
      <x:c r="A358" s="10" t="str">
        <x:v>基础效果</x:v>
      </x:c>
      <x:c r="B358" s="3" t="str">
        <x:f>'75张卡牌'!BH11</x:f>
        <x:v>将1张贝塔洗入抽牌堆。消耗。</x:v>
      </x:c>
      <x:c r="C358" s="3" t="str">
        <x:f>'75张卡牌'!BS11</x:f>
        <x:v>从抽牌堆选1张牌，免费打出2次，再消耗该牌。消耗。</x:v>
      </x:c>
      <x:c r="D358" s="3" t="str">
        <x:f>'75张卡牌'!BR11</x:f>
        <x:v>战斗中新生成的卡牌获得升级。</x:v>
      </x:c>
      <x:c r="E358" s="3" t="str">
        <x:f>'75张卡牌'!BU11</x:f>
        <x:v>抽牌直到手牌达到上限。消耗。</x:v>
      </x:c>
      <x:c r="F358" s="3" t="str">
        <x:f>'75张卡牌'!BW11</x:f>
        <x:v>结束当前回合，并在敌人行动前额外进行1个自己的回合。消耗。</x:v>
      </x:c>
      <x:c r="G358" s="3" t="str">
        <x:f>'75张卡牌'!AL11</x:f>
        <x:v>从弃牌堆选1张牌放入手牌并保留；进入平静；结束回合。</x:v>
      </x:c>
    </x:row>
    <x:row r="359" ht="44" customHeight="1">
      <x:c r="A359" s="10" t="str">
        <x:v>升级后完整效果</x:v>
      </x:c>
      <x:c r="B359" s="11" t="str">
        <x:f>'75张卡牌'!BH12</x:f>
        <x:v>固有。将1张贝塔洗入抽牌堆。消耗。</x:v>
      </x:c>
      <x:c r="C359" s="11" t="str">
        <x:f>'75张卡牌'!BS12</x:f>
        <x:v>从抽牌堆选1张牌，免费打出2次，再消耗该牌。消耗。</x:v>
      </x:c>
      <x:c r="D359" s="11" t="str">
        <x:f>'75张卡牌'!BR12</x:f>
        <x:v>战斗中新生成的卡牌获得升级。</x:v>
      </x:c>
      <x:c r="E359" s="11" t="str">
        <x:f>'75张卡牌'!BU12</x:f>
        <x:v>抽牌直到手牌达到上限。消耗。</x:v>
      </x:c>
      <x:c r="F359" s="11" t="str">
        <x:f>'75张卡牌'!BW12</x:f>
        <x:v>结束当前回合，并在敌人行动前额外进行1个自己的回合。消耗。</x:v>
      </x:c>
      <x:c r="G359" s="11" t="str">
        <x:f>'75张卡牌'!AL12</x:f>
        <x:v>从弃牌堆选2张牌放入手牌并保留；进入平静；结束回合。</x:v>
      </x:c>
    </x:row>
    <x:row r="360" ht="28" customHeight="1">
      <x:c r="A360" s="22" t="str">
        <x:v>升级改动</x:v>
      </x:c>
      <x:c r="B360" s="23" t="str">
        <x:f>'75张卡牌'!BH13</x:f>
        <x:v>新增固有</x:v>
      </x:c>
      <x:c r="C360" s="23" t="str">
        <x:f>'75张卡牌'!BS13</x:f>
        <x:v>费用4→3</x:v>
      </x:c>
      <x:c r="D360" s="23" t="str">
        <x:f>'75张卡牌'!BR13</x:f>
        <x:v>费用1→0</x:v>
      </x:c>
      <x:c r="E360" s="23" t="str">
        <x:f>'75张卡牌'!BU13</x:f>
        <x:v>费用1→0</x:v>
      </x:c>
      <x:c r="F360" s="23" t="str">
        <x:f>'75张卡牌'!BW13</x:f>
        <x:v>费用3→2</x:v>
      </x:c>
      <x:c r="G360" s="23" t="str">
        <x:f>'75张卡牌'!AL13</x:f>
        <x:v>回收1→2张</x:v>
      </x:c>
    </x:row>
    <x:row r="361" ht="28" customHeight="1">
      <x:c r="A361" s="10" t="str">
        <x:v>关键词 · 基础</x:v>
      </x:c>
      <x:c r="B361" s="11" t="str">
        <x:f>'75张卡牌'!BH14</x:f>
        <x:v>消耗</x:v>
      </x:c>
      <x:c r="C361" s="11" t="str">
        <x:f>'75张卡牌'!BS14</x:f>
        <x:v>消耗</x:v>
      </x:c>
      <x:c r="D361" s="11" t="str">
        <x:f>'75张卡牌'!BR14</x:f>
        <x:v>—</x:v>
      </x:c>
      <x:c r="E361" s="11" t="str">
        <x:f>'75张卡牌'!BU14</x:f>
        <x:v>消耗</x:v>
      </x:c>
      <x:c r="F361" s="11" t="str">
        <x:f>'75张卡牌'!BW14</x:f>
        <x:v>消耗</x:v>
      </x:c>
      <x:c r="G361" s="11" t="str">
        <x:f>'75张卡牌'!AL14</x:f>
        <x:v>保留、平静</x:v>
      </x:c>
    </x:row>
    <x:row r="362" ht="28" customHeight="1">
      <x:c r="A362" s="10" t="str">
        <x:v>设计职责 · 分析</x:v>
      </x:c>
      <x:c r="B362" s="3" t="str">
        <x:f>'75张卡牌'!BH15</x:f>
        <x:v>多阶段启动</x:v>
      </x:c>
      <x:c r="C362" s="3" t="str">
        <x:f>'75张卡牌'!BS15</x:f>
        <x:v>定向检索／复制结算</x:v>
      </x:c>
      <x:c r="D362" s="3" t="str">
        <x:f>'75张卡牌'!BR15</x:f>
        <x:v>生成牌回报</x:v>
      </x:c>
      <x:c r="E362" s="3" t="str">
        <x:f>'75张卡牌'!BU15</x:f>
        <x:v>爆发抽牌</x:v>
      </x:c>
      <x:c r="F362" s="3" t="str">
        <x:f>'75张卡牌'!BW15</x:f>
        <x:v>回合控制／重新抽牌</x:v>
      </x:c>
      <x:c r="G362" s="3" t="str">
        <x:f>'75张卡牌'!AL15</x:f>
        <x:v>定向回收／保留／姿态入口</x:v>
      </x:c>
    </x:row>
    <x:row r="363" ht="44" customHeight="1">
      <x:c r="A363" s="10" t="str">
        <x:v>时序／使用边界</x:v>
      </x:c>
      <x:c r="B363" s="11" t="str">
        <x:f>'75张卡牌'!BH17</x:f>
        <x:v>阿尔法升级不自动升级贝塔或欧米伽。</x:v>
      </x:c>
      <x:c r="C363" s="11" t="str">
        <x:f>'75张卡牌'!BS17</x:f>
        <x:v>目标须在抽牌堆；重复结算会重复目标牌的副作用。</x:v>
      </x:c>
      <x:c r="D363" s="11" t="str">
        <x:f>'75张卡牌'!BR17</x:f>
        <x:v>影响能力生效之后生成的牌，不追溯升级此前生成的牌。</x:v>
      </x:c>
      <x:c r="E363" s="11" t="str">
        <x:f>'75张卡牌'!BU17</x:f>
        <x:v>通常手牌上限为10；实际抽牌数取决于剩余手牌。</x:v>
      </x:c>
      <x:c r="F363" s="11" t="str">
        <x:f>'75张卡牌'!BW17</x:f>
        <x:v>会推进自己的回合开始与结束效果；不等于把手牌免费再打一遍。</x:v>
      </x:c>
      <x:c r="G363" s="11" t="str">
        <x:f>'75张卡牌'!AL17</x:f>
        <x:v>赋予该次回合结束的保留，不是永久增加保留关键词。</x:v>
      </x:c>
    </x:row>
    <x:row r="366" ht="28" customHeight="1">
      <x:c r="A366" s="34" t="str">
        <x:v>10  阿尔法与全知  ·  7—9 / 9</x:v>
      </x:c>
      <x:c r="B366" s="32"/>
      <x:c r="C366" s="32"/>
      <x:c r="D366" s="32"/>
      <x:c r="E366" s="32"/>
      <x:c r="F366" s="32"/>
      <x:c r="G366" s="32"/>
    </x:row>
    <x:row r="367" ht="30" customHeight="1">
      <x:c r="A367" s="16" t="str">
        <x:v>卡牌名</x:v>
      </x:c>
      <x:c r="B367" s="16" t="str">
        <x:f>'75张卡牌'!W5</x:f>
        <x:v>天眼</x:v>
      </x:c>
      <x:c r="C367" s="16" t="str">
        <x:f>'75张卡牌'!U5</x:f>
        <x:v>护身</x:v>
      </x:c>
      <x:c r="D367" s="17" t="str">
        <x:f>'75张卡牌'!AK5</x:f>
        <x:v>如水</x:v>
      </x:c>
    </x:row>
    <x:row r="368" ht="28" customHeight="1">
      <x:c r="A368" s="10" t="str">
        <x:v>包内职责 · 分析</x:v>
      </x:c>
      <x:c r="B368" s="35" t="str">
        <x:v>可选补件</x:v>
      </x:c>
      <x:c r="C368" s="35" t="str">
        <x:v>可选补件</x:v>
      </x:c>
      <x:c r="D368" s="35" t="str">
        <x:v>可选补件</x:v>
      </x:c>
    </x:row>
    <x:row r="369" ht="28" customHeight="1">
      <x:c r="A369" s="10" t="str">
        <x:v>英文名</x:v>
      </x:c>
      <x:c r="B369" s="3" t="str">
        <x:f>'75张卡牌'!W6</x:f>
        <x:v>Third Eye</x:v>
      </x:c>
      <x:c r="C369" s="3" t="str">
        <x:f>'75张卡牌'!U6</x:f>
        <x:v>Protect</x:v>
      </x:c>
      <x:c r="D369" s="3" t="str">
        <x:f>'75张卡牌'!AK6</x:f>
        <x:v>Like Water</x:v>
      </x:c>
    </x:row>
    <x:row r="370" ht="28" customHeight="1">
      <x:c r="A370" s="10" t="str">
        <x:v>类型／稀有度</x:v>
      </x:c>
      <x:c r="B370" s="11" t="str">
        <x:v>技能 / 普通</x:v>
      </x:c>
      <x:c r="C370" s="11" t="str">
        <x:v>技能 / 普通</x:v>
      </x:c>
      <x:c r="D370" s="11" t="str">
        <x:v>能力 / 罕见</x:v>
      </x:c>
    </x:row>
    <x:row r="371" ht="28" customHeight="1">
      <x:c r="A371" s="10" t="str">
        <x:v>费用 · 基础</x:v>
      </x:c>
      <x:c r="B371" s="20" t="n">
        <x:f>'75张卡牌'!W9</x:f>
        <x:v>1</x:v>
      </x:c>
      <x:c r="C371" s="20" t="n">
        <x:f>'75张卡牌'!U9</x:f>
        <x:v>2</x:v>
      </x:c>
      <x:c r="D371" s="20" t="n">
        <x:f>'75张卡牌'!AK9</x:f>
        <x:v>1</x:v>
      </x:c>
    </x:row>
    <x:row r="372" ht="28" customHeight="1">
      <x:c r="A372" s="10" t="str">
        <x:v>费用 · 升级</x:v>
      </x:c>
      <x:c r="B372" s="21" t="n">
        <x:f>'75张卡牌'!W10</x:f>
        <x:v>1</x:v>
      </x:c>
      <x:c r="C372" s="21" t="n">
        <x:f>'75张卡牌'!U10</x:f>
        <x:v>2</x:v>
      </x:c>
      <x:c r="D372" s="21" t="n">
        <x:f>'75张卡牌'!AK10</x:f>
        <x:v>1</x:v>
      </x:c>
    </x:row>
    <x:row r="373" ht="44" customHeight="1">
      <x:c r="A373" s="10" t="str">
        <x:v>基础效果</x:v>
      </x:c>
      <x:c r="B373" s="3" t="str">
        <x:f>'75张卡牌'!W11</x:f>
        <x:v>获得7点格挡；占卜3。</x:v>
      </x:c>
      <x:c r="C373" s="3" t="str">
        <x:f>'75张卡牌'!U11</x:f>
        <x:v>保留。获得12点格挡。</x:v>
      </x:c>
      <x:c r="D373" s="3" t="str">
        <x:f>'75张卡牌'!AK11</x:f>
        <x:v>你的回合结束时，若处于平静，获得5点格挡。</x:v>
      </x:c>
    </x:row>
    <x:row r="374" ht="44" customHeight="1">
      <x:c r="A374" s="10" t="str">
        <x:v>升级后完整效果</x:v>
      </x:c>
      <x:c r="B374" s="11" t="str">
        <x:f>'75张卡牌'!W12</x:f>
        <x:v>获得9点格挡；占卜5。</x:v>
      </x:c>
      <x:c r="C374" s="11" t="str">
        <x:f>'75张卡牌'!U12</x:f>
        <x:v>保留。获得16点格挡。</x:v>
      </x:c>
      <x:c r="D374" s="11" t="str">
        <x:f>'75张卡牌'!AK12</x:f>
        <x:v>你的回合结束时，若处于平静，获得7点格挡。</x:v>
      </x:c>
    </x:row>
    <x:row r="375" ht="28" customHeight="1">
      <x:c r="A375" s="22" t="str">
        <x:v>升级改动</x:v>
      </x:c>
      <x:c r="B375" s="23" t="str">
        <x:f>'75张卡牌'!W13</x:f>
        <x:v>格挡7→9；占卜3→5</x:v>
      </x:c>
      <x:c r="C375" s="23" t="str">
        <x:f>'75张卡牌'!U13</x:f>
        <x:v>格挡12→16</x:v>
      </x:c>
      <x:c r="D375" s="23" t="str">
        <x:f>'75张卡牌'!AK13</x:f>
        <x:v>格挡5→7</x:v>
      </x:c>
    </x:row>
    <x:row r="376" ht="28" customHeight="1">
      <x:c r="A376" s="10" t="str">
        <x:v>关键词 · 基础</x:v>
      </x:c>
      <x:c r="B376" s="11" t="str">
        <x:f>'75张卡牌'!W14</x:f>
        <x:v>占卜</x:v>
      </x:c>
      <x:c r="C376" s="11" t="str">
        <x:f>'75张卡牌'!U14</x:f>
        <x:v>保留</x:v>
      </x:c>
      <x:c r="D376" s="11" t="str">
        <x:f>'75张卡牌'!AK14</x:f>
        <x:v>平静</x:v>
      </x:c>
    </x:row>
    <x:row r="377" ht="28" customHeight="1">
      <x:c r="A377" s="10" t="str">
        <x:v>设计职责 · 分析</x:v>
      </x:c>
      <x:c r="B377" s="3" t="str">
        <x:f>'75张卡牌'!W15</x:f>
        <x:v>防御／筛牌</x:v>
      </x:c>
      <x:c r="C377" s="3" t="str">
        <x:f>'75张卡牌'!U15</x:f>
        <x:v>可储存防御</x:v>
      </x:c>
      <x:c r="D377" s="3" t="str">
        <x:f>'75张卡牌'!AK15</x:f>
        <x:v>姿态条件防御</x:v>
      </x:c>
    </x:row>
    <x:row r="378" ht="44" customHeight="1">
      <x:c r="A378" s="10" t="str">
        <x:v>时序／使用边界</x:v>
      </x:c>
      <x:c r="B378" s="11" t="str">
        <x:f>'75张卡牌'!W17</x:f>
        <x:v>不直接抽牌；可为后续抽牌或下一回合准备。</x:v>
      </x:c>
      <x:c r="C378" s="11" t="str">
        <x:f>'75张卡牌'!U17</x:f>
        <x:v>用于把防御留给威胁较高的回合。</x:v>
      </x:c>
      <x:c r="D378" s="11" t="str">
        <x:f>'75张卡牌'!AK17</x:f>
        <x:v>要求以平静结束回合，与立即退出平静取能形成取舍。</x:v>
      </x:c>
    </x:row>
    <x:row r="381" ht="28" customHeight="1">
      <x:c r="A381" s="34" t="str">
        <x:v>11  通用支撑与过渡  ·  1—6 / 14</x:v>
      </x:c>
      <x:c r="B381" s="32"/>
      <x:c r="C381" s="32"/>
      <x:c r="D381" s="32"/>
      <x:c r="E381" s="32"/>
      <x:c r="F381" s="32"/>
      <x:c r="G381" s="32"/>
    </x:row>
    <x:row r="382" ht="30" customHeight="1">
      <x:c r="A382" s="16" t="str">
        <x:v>卡牌名</x:v>
      </x:c>
      <x:c r="B382" s="16" t="str">
        <x:f>'75张卡牌'!D5</x:f>
        <x:v>打击</x:v>
      </x:c>
      <x:c r="C382" s="16" t="str">
        <x:f>'75张卡牌'!B5</x:f>
        <x:v>防御</x:v>
      </x:c>
      <x:c r="D382" s="16" t="str">
        <x:f>'75张卡牌'!BP5</x:f>
        <x:v>审判</x:v>
      </x:c>
      <x:c r="E382" s="16" t="str">
        <x:f>'75张卡牌'!BQ5</x:f>
        <x:v>勤学精进</x:v>
      </x:c>
      <x:c r="F382" s="16" t="str">
        <x:f>'75张卡牌'!BU5</x:f>
        <x:v>潦草急就</x:v>
      </x:c>
      <x:c r="G382" s="17" t="str">
        <x:f>'75张卡牌'!BW5</x:f>
        <x:v>腾跃</x:v>
      </x:c>
    </x:row>
    <x:row r="383" ht="28" customHeight="1">
      <x:c r="A383" s="10" t="str">
        <x:v>包内职责 · 分析</x:v>
      </x:c>
      <x:c r="B383" s="35" t="str">
        <x:v>核心组件</x:v>
      </x:c>
      <x:c r="C383" s="35" t="str">
        <x:v>核心组件</x:v>
      </x:c>
      <x:c r="D383" s="35" t="str">
        <x:v>核心组件</x:v>
      </x:c>
      <x:c r="E383" s="35" t="str">
        <x:v>核心组件</x:v>
      </x:c>
      <x:c r="F383" s="35" t="str">
        <x:v>核心组件</x:v>
      </x:c>
      <x:c r="G383" s="35" t="str">
        <x:v>核心组件</x:v>
      </x:c>
    </x:row>
    <x:row r="384" ht="28" customHeight="1">
      <x:c r="A384" s="10" t="str">
        <x:v>英文名</x:v>
      </x:c>
      <x:c r="B384" s="3" t="str">
        <x:f>'75张卡牌'!D6</x:f>
        <x:v>Strike</x:v>
      </x:c>
      <x:c r="C384" s="3" t="str">
        <x:f>'75张卡牌'!B6</x:f>
        <x:v>Defend</x:v>
      </x:c>
      <x:c r="D384" s="3" t="str">
        <x:f>'75张卡牌'!BP6</x:f>
        <x:v>Judgment</x:v>
      </x:c>
      <x:c r="E384" s="3" t="str">
        <x:f>'75张卡牌'!BQ6</x:f>
        <x:v>Lesson Learned</x:v>
      </x:c>
      <x:c r="F384" s="3" t="str">
        <x:f>'75张卡牌'!BU6</x:f>
        <x:v>Scrawl</x:v>
      </x:c>
      <x:c r="G384" s="3" t="str">
        <x:f>'75张卡牌'!BW6</x:f>
        <x:v>Vault</x:v>
      </x:c>
    </x:row>
    <x:row r="385" ht="28" customHeight="1">
      <x:c r="A385" s="10" t="str">
        <x:v>类型／稀有度</x:v>
      </x:c>
      <x:c r="B385" s="11" t="str">
        <x:v>攻击 / 初始</x:v>
      </x:c>
      <x:c r="C385" s="11" t="str">
        <x:v>技能 / 初始</x:v>
      </x:c>
      <x:c r="D385" s="11" t="str">
        <x:v>技能 / 稀有</x:v>
      </x:c>
      <x:c r="E385" s="11" t="str">
        <x:v>攻击 / 稀有</x:v>
      </x:c>
      <x:c r="F385" s="11" t="str">
        <x:v>技能 / 稀有</x:v>
      </x:c>
      <x:c r="G385" s="11" t="str">
        <x:v>技能 / 稀有</x:v>
      </x:c>
    </x:row>
    <x:row r="386" ht="28" customHeight="1">
      <x:c r="A386" s="10" t="str">
        <x:v>费用 · 基础</x:v>
      </x:c>
      <x:c r="B386" s="20" t="n">
        <x:f>'75张卡牌'!D9</x:f>
        <x:v>1</x:v>
      </x:c>
      <x:c r="C386" s="20" t="n">
        <x:f>'75张卡牌'!B9</x:f>
        <x:v>1</x:v>
      </x:c>
      <x:c r="D386" s="20" t="n">
        <x:f>'75张卡牌'!BP9</x:f>
        <x:v>1</x:v>
      </x:c>
      <x:c r="E386" s="20" t="n">
        <x:f>'75张卡牌'!BQ9</x:f>
        <x:v>2</x:v>
      </x:c>
      <x:c r="F386" s="20" t="n">
        <x:f>'75张卡牌'!BU9</x:f>
        <x:v>1</x:v>
      </x:c>
      <x:c r="G386" s="20" t="n">
        <x:f>'75张卡牌'!BW9</x:f>
        <x:v>3</x:v>
      </x:c>
    </x:row>
    <x:row r="387" ht="28" customHeight="1">
      <x:c r="A387" s="10" t="str">
        <x:v>费用 · 升级</x:v>
      </x:c>
      <x:c r="B387" s="21" t="n">
        <x:f>'75张卡牌'!D10</x:f>
        <x:v>1</x:v>
      </x:c>
      <x:c r="C387" s="21" t="n">
        <x:f>'75张卡牌'!B10</x:f>
        <x:v>1</x:v>
      </x:c>
      <x:c r="D387" s="21" t="n">
        <x:f>'75张卡牌'!BP10</x:f>
        <x:v>1</x:v>
      </x:c>
      <x:c r="E387" s="21" t="n">
        <x:f>'75张卡牌'!BQ10</x:f>
        <x:v>2</x:v>
      </x:c>
      <x:c r="F387" s="21" t="n">
        <x:f>'75张卡牌'!BU10</x:f>
        <x:v>0</x:v>
      </x:c>
      <x:c r="G387" s="21" t="n">
        <x:f>'75张卡牌'!BW10</x:f>
        <x:v>2</x:v>
      </x:c>
    </x:row>
    <x:row r="388" ht="44" customHeight="1">
      <x:c r="A388" s="10" t="str">
        <x:v>基础效果</x:v>
      </x:c>
      <x:c r="B388" s="3" t="str">
        <x:f>'75张卡牌'!D11</x:f>
        <x:v>对单个敌人造成6点伤害。</x:v>
      </x:c>
      <x:c r="C388" s="3" t="str">
        <x:f>'75张卡牌'!B11</x:f>
        <x:v>获得5点格挡。</x:v>
      </x:c>
      <x:c r="D388" s="3" t="str">
        <x:f>'75张卡牌'!BP11</x:f>
        <x:v>若目标当前生命不高于30，将其生命设为0。</x:v>
      </x:c>
      <x:c r="E388" s="3" t="str">
        <x:f>'75张卡牌'!BQ11</x:f>
        <x:v>对单个敌人造成10点伤害；若斩杀，永久升级牌组中随机1张牌。消耗。</x:v>
      </x:c>
      <x:c r="F388" s="3" t="str">
        <x:f>'75张卡牌'!BU11</x:f>
        <x:v>抽牌直到手牌达到上限。消耗。</x:v>
      </x:c>
      <x:c r="G388" s="3" t="str">
        <x:f>'75张卡牌'!BW11</x:f>
        <x:v>结束当前回合，并在敌人行动前额外进行1个自己的回合。消耗。</x:v>
      </x:c>
    </x:row>
    <x:row r="389" ht="44" customHeight="1">
      <x:c r="A389" s="10" t="str">
        <x:v>升级后完整效果</x:v>
      </x:c>
      <x:c r="B389" s="11" t="str">
        <x:f>'75张卡牌'!D12</x:f>
        <x:v>对单个敌人造成9点伤害。</x:v>
      </x:c>
      <x:c r="C389" s="11" t="str">
        <x:f>'75张卡牌'!B12</x:f>
        <x:v>获得8点格挡。</x:v>
      </x:c>
      <x:c r="D389" s="11" t="str">
        <x:f>'75张卡牌'!BP12</x:f>
        <x:v>若目标当前生命不高于40，将其生命设为0。</x:v>
      </x:c>
      <x:c r="E389" s="11" t="str">
        <x:f>'75张卡牌'!BQ12</x:f>
        <x:v>对单个敌人造成13点伤害；若斩杀，永久升级牌组中随机1张牌。消耗。</x:v>
      </x:c>
      <x:c r="F389" s="11" t="str">
        <x:f>'75张卡牌'!BU12</x:f>
        <x:v>抽牌直到手牌达到上限。消耗。</x:v>
      </x:c>
      <x:c r="G389" s="11" t="str">
        <x:f>'75张卡牌'!BW12</x:f>
        <x:v>结束当前回合，并在敌人行动前额外进行1个自己的回合。消耗。</x:v>
      </x:c>
    </x:row>
    <x:row r="390" ht="28" customHeight="1">
      <x:c r="A390" s="22" t="str">
        <x:v>升级改动</x:v>
      </x:c>
      <x:c r="B390" s="23" t="str">
        <x:f>'75张卡牌'!D13</x:f>
        <x:v>伤害6→9</x:v>
      </x:c>
      <x:c r="C390" s="23" t="str">
        <x:f>'75张卡牌'!B13</x:f>
        <x:v>格挡5→8</x:v>
      </x:c>
      <x:c r="D390" s="23" t="str">
        <x:f>'75张卡牌'!BP13</x:f>
        <x:v>斩杀阈值30→40</x:v>
      </x:c>
      <x:c r="E390" s="23" t="str">
        <x:f>'75张卡牌'!BQ13</x:f>
        <x:v>伤害10→13</x:v>
      </x:c>
      <x:c r="F390" s="23" t="str">
        <x:f>'75张卡牌'!BU13</x:f>
        <x:v>费用1→0</x:v>
      </x:c>
      <x:c r="G390" s="23" t="str">
        <x:f>'75张卡牌'!BW13</x:f>
        <x:v>费用3→2</x:v>
      </x:c>
    </x:row>
    <x:row r="391" ht="28" customHeight="1">
      <x:c r="A391" s="10" t="str">
        <x:v>关键词 · 基础</x:v>
      </x:c>
      <x:c r="B391" s="11" t="str">
        <x:f>'75张卡牌'!D14</x:f>
        <x:v>—</x:v>
      </x:c>
      <x:c r="C391" s="11" t="str">
        <x:f>'75张卡牌'!B14</x:f>
        <x:v>—</x:v>
      </x:c>
      <x:c r="D391" s="11" t="str">
        <x:f>'75张卡牌'!BP14</x:f>
        <x:v>—</x:v>
      </x:c>
      <x:c r="E391" s="11" t="str">
        <x:f>'75张卡牌'!BQ14</x:f>
        <x:v>消耗</x:v>
      </x:c>
      <x:c r="F391" s="11" t="str">
        <x:f>'75张卡牌'!BU14</x:f>
        <x:v>消耗</x:v>
      </x:c>
      <x:c r="G391" s="11" t="str">
        <x:f>'75张卡牌'!BW14</x:f>
        <x:v>消耗</x:v>
      </x:c>
    </x:row>
    <x:row r="392" ht="28" customHeight="1">
      <x:c r="A392" s="10" t="str">
        <x:v>设计职责 · 分析</x:v>
      </x:c>
      <x:c r="B392" s="3" t="str">
        <x:f>'75张卡牌'!D15</x:f>
        <x:v>基础输出</x:v>
      </x:c>
      <x:c r="C392" s="3" t="str">
        <x:f>'75张卡牌'!B15</x:f>
        <x:v>基础防御</x:v>
      </x:c>
      <x:c r="D392" s="3" t="str">
        <x:f>'75张卡牌'!BP15</x:f>
        <x:v>阈值斩杀</x:v>
      </x:c>
      <x:c r="E392" s="3" t="str">
        <x:f>'75张卡牌'!BQ15</x:f>
        <x:v>输出／局外成长</x:v>
      </x:c>
      <x:c r="F392" s="3" t="str">
        <x:f>'75张卡牌'!BU15</x:f>
        <x:v>爆发抽牌</x:v>
      </x:c>
      <x:c r="G392" s="3" t="str">
        <x:f>'75张卡牌'!BW15</x:f>
        <x:v>回合控制／重新抽牌</x:v>
      </x:c>
    </x:row>
    <x:row r="393" ht="44" customHeight="1">
      <x:c r="A393" s="10" t="str">
        <x:v>时序／使用边界</x:v>
      </x:c>
      <x:c r="B393" s="11" t="str">
        <x:f>'75张卡牌'!D17</x:f>
        <x:v>初始牌；作为无条件单体攻击的基准。</x:v>
      </x:c>
      <x:c r="C393" s="11" t="str">
        <x:f>'75张卡牌'!B17</x:f>
        <x:v>初始牌；作为无条件格挡的基准。</x:v>
      </x:c>
      <x:c r="D393" s="11" t="str">
        <x:f>'75张卡牌'!BP17</x:f>
        <x:v>不是造成30或40伤害；高于阈值时没有该效果。</x:v>
      </x:c>
      <x:c r="E393" s="11" t="str">
        <x:f>'75张卡牌'!BQ17</x:f>
        <x:v>必须由此牌满足斩杀条件；召唤物等不提供正常斩杀收益。</x:v>
      </x:c>
      <x:c r="F393" s="11" t="str">
        <x:f>'75张卡牌'!BU17</x:f>
        <x:v>通常手牌上限为10；实际抽牌数取决于剩余手牌。</x:v>
      </x:c>
      <x:c r="G393" s="11" t="str">
        <x:f>'75张卡牌'!BW17</x:f>
        <x:v>会推进自己的回合开始与结束效果；不等于把手牌免费再打一遍。</x:v>
      </x:c>
    </x:row>
    <x:row r="396" ht="28" customHeight="1">
      <x:c r="A396" s="34" t="str">
        <x:v>11  通用支撑与过渡  ·  7—12 / 14</x:v>
      </x:c>
      <x:c r="B396" s="32"/>
      <x:c r="C396" s="32"/>
      <x:c r="D396" s="32"/>
      <x:c r="E396" s="32"/>
      <x:c r="F396" s="32"/>
      <x:c r="G396" s="32"/>
    </x:row>
    <x:row r="397" ht="30" customHeight="1">
      <x:c r="A397" s="16" t="str">
        <x:v>卡牌名</x:v>
      </x:c>
      <x:c r="B397" s="16" t="str">
        <x:f>'75张卡牌'!AS5</x:f>
        <x:v>圣洁</x:v>
      </x:c>
      <x:c r="C397" s="16" t="str">
        <x:f>'75张卡牌'!AG5</x:f>
        <x:v>他山之石</x:v>
      </x:c>
      <x:c r="D397" s="16" t="str">
        <x:f>'75张卡牌'!BX5</x:f>
        <x:v>许愿</x:v>
      </x:c>
      <x:c r="E397" s="16" t="str">
        <x:f>'75张卡牌'!J5</x:f>
        <x:v>斩破命运</x:v>
      </x:c>
      <x:c r="F397" s="16" t="str">
        <x:f>'75张卡牌'!W5</x:f>
        <x:v>天眼</x:v>
      </x:c>
      <x:c r="G397" s="17" t="str">
        <x:f>'75张卡牌'!BD5</x:f>
        <x:v>回旋踢</x:v>
      </x:c>
    </x:row>
    <x:row r="398" ht="28" customHeight="1">
      <x:c r="A398" s="10" t="str">
        <x:v>包内职责 · 分析</x:v>
      </x:c>
      <x:c r="B398" s="35" t="str">
        <x:v>核心组件</x:v>
      </x:c>
      <x:c r="C398" s="35" t="str">
        <x:v>核心组件</x:v>
      </x:c>
      <x:c r="D398" s="35" t="str">
        <x:v>核心组件</x:v>
      </x:c>
      <x:c r="E398" s="35" t="str">
        <x:v>可选补件</x:v>
      </x:c>
      <x:c r="F398" s="35" t="str">
        <x:v>可选补件</x:v>
      </x:c>
      <x:c r="G398" s="35" t="str">
        <x:v>可选补件</x:v>
      </x:c>
    </x:row>
    <x:row r="399" ht="28" customHeight="1">
      <x:c r="A399" s="10" t="str">
        <x:v>英文名</x:v>
      </x:c>
      <x:c r="B399" s="3" t="str">
        <x:f>'75张卡牌'!AS6</x:f>
        <x:v>Sanctity</x:v>
      </x:c>
      <x:c r="C399" s="3" t="str">
        <x:f>'75张卡牌'!AG6</x:f>
        <x:v>Foreign Influence</x:v>
      </x:c>
      <x:c r="D399" s="3" t="str">
        <x:f>'75张卡牌'!BX6</x:f>
        <x:v>Wish</x:v>
      </x:c>
      <x:c r="E399" s="3" t="str">
        <x:f>'75张卡牌'!J6</x:f>
        <x:v>Cut Through Fate</x:v>
      </x:c>
      <x:c r="F399" s="3" t="str">
        <x:f>'75张卡牌'!W6</x:f>
        <x:v>Third Eye</x:v>
      </x:c>
      <x:c r="G399" s="3" t="str">
        <x:f>'75张卡牌'!BD6</x:f>
        <x:v>Wheel Kick</x:v>
      </x:c>
    </x:row>
    <x:row r="400" ht="28" customHeight="1">
      <x:c r="A400" s="10" t="str">
        <x:v>类型／稀有度</x:v>
      </x:c>
      <x:c r="B400" s="11" t="str">
        <x:v>技能 / 罕见</x:v>
      </x:c>
      <x:c r="C400" s="11" t="str">
        <x:v>技能 / 罕见</x:v>
      </x:c>
      <x:c r="D400" s="11" t="str">
        <x:v>技能 / 稀有</x:v>
      </x:c>
      <x:c r="E400" s="11" t="str">
        <x:v>攻击 / 普通</x:v>
      </x:c>
      <x:c r="F400" s="11" t="str">
        <x:v>技能 / 普通</x:v>
      </x:c>
      <x:c r="G400" s="11" t="str">
        <x:v>攻击 / 罕见</x:v>
      </x:c>
    </x:row>
    <x:row r="401" ht="28" customHeight="1">
      <x:c r="A401" s="10" t="str">
        <x:v>费用 · 基础</x:v>
      </x:c>
      <x:c r="B401" s="20" t="n">
        <x:f>'75张卡牌'!AS9</x:f>
        <x:v>1</x:v>
      </x:c>
      <x:c r="C401" s="20" t="n">
        <x:f>'75张卡牌'!AG9</x:f>
        <x:v>0</x:v>
      </x:c>
      <x:c r="D401" s="20" t="n">
        <x:f>'75张卡牌'!BX9</x:f>
        <x:v>3</x:v>
      </x:c>
      <x:c r="E401" s="20" t="n">
        <x:f>'75张卡牌'!J9</x:f>
        <x:v>1</x:v>
      </x:c>
      <x:c r="F401" s="20" t="n">
        <x:f>'75张卡牌'!W9</x:f>
        <x:v>1</x:v>
      </x:c>
      <x:c r="G401" s="20" t="n">
        <x:f>'75张卡牌'!BD9</x:f>
        <x:v>2</x:v>
      </x:c>
    </x:row>
    <x:row r="402" ht="28" customHeight="1">
      <x:c r="A402" s="10" t="str">
        <x:v>费用 · 升级</x:v>
      </x:c>
      <x:c r="B402" s="21" t="n">
        <x:f>'75张卡牌'!AS10</x:f>
        <x:v>1</x:v>
      </x:c>
      <x:c r="C402" s="21" t="n">
        <x:f>'75张卡牌'!AG10</x:f>
        <x:v>0</x:v>
      </x:c>
      <x:c r="D402" s="21" t="n">
        <x:f>'75张卡牌'!BX10</x:f>
        <x:v>3</x:v>
      </x:c>
      <x:c r="E402" s="21" t="n">
        <x:f>'75张卡牌'!J10</x:f>
        <x:v>1</x:v>
      </x:c>
      <x:c r="F402" s="21" t="n">
        <x:f>'75张卡牌'!W10</x:f>
        <x:v>1</x:v>
      </x:c>
      <x:c r="G402" s="21" t="n">
        <x:f>'75张卡牌'!BD10</x:f>
        <x:v>2</x:v>
      </x:c>
    </x:row>
    <x:row r="403" ht="44" customHeight="1">
      <x:c r="A403" s="10" t="str">
        <x:v>基础效果</x:v>
      </x:c>
      <x:c r="B403" s="3" t="str">
        <x:f>'75张卡牌'!AS11</x:f>
        <x:v>获得6点格挡；若上一张打出的牌是技能，抽2张牌。</x:v>
      </x:c>
      <x:c r="C403" s="3" t="str">
        <x:f>'75张卡牌'!AG11</x:f>
        <x:v>从3张随机的任意颜色攻击牌中选1张加入手牌。消耗。</x:v>
      </x:c>
      <x:c r="D403" s="3" t="str">
        <x:f>'75张卡牌'!BX11</x:f>
        <x:v>三选一：获得6层多层护甲、3点力量，或25金币。消耗。</x:v>
      </x:c>
      <x:c r="E403" s="3" t="str">
        <x:f>'75张卡牌'!J11</x:f>
        <x:v>对单个敌人造成7点伤害；占卜2；抽1张牌。</x:v>
      </x:c>
      <x:c r="F403" s="3" t="str">
        <x:f>'75张卡牌'!W11</x:f>
        <x:v>获得7点格挡；占卜3。</x:v>
      </x:c>
      <x:c r="G403" s="3" t="str">
        <x:f>'75张卡牌'!BD11</x:f>
        <x:v>对单个敌人造成15点伤害；抽2张牌。</x:v>
      </x:c>
    </x:row>
    <x:row r="404" ht="60" customHeight="1">
      <x:c r="A404" s="10" t="str">
        <x:v>升级后完整效果</x:v>
      </x:c>
      <x:c r="B404" s="11" t="str">
        <x:f>'75张卡牌'!AS12</x:f>
        <x:v>获得9点格挡；若上一张打出的牌是技能，抽2张牌。</x:v>
      </x:c>
      <x:c r="C404" s="11" t="str">
        <x:f>'75张卡牌'!AG12</x:f>
        <x:v>从3张随机的任意颜色攻击牌中选1张加入手牌。它在本回合费用为0。消耗。</x:v>
      </x:c>
      <x:c r="D404" s="11" t="str">
        <x:f>'75张卡牌'!BX12</x:f>
        <x:v>三选一：获得8层多层护甲、4点力量，或30金币。消耗。</x:v>
      </x:c>
      <x:c r="E404" s="11" t="str">
        <x:f>'75张卡牌'!J12</x:f>
        <x:v>对单个敌人造成9点伤害；占卜3；抽1张牌。</x:v>
      </x:c>
      <x:c r="F404" s="11" t="str">
        <x:f>'75张卡牌'!W12</x:f>
        <x:v>获得9点格挡；占卜5。</x:v>
      </x:c>
      <x:c r="G404" s="11" t="str">
        <x:f>'75张卡牌'!BD12</x:f>
        <x:v>对单个敌人造成20点伤害；抽2张牌。</x:v>
      </x:c>
    </x:row>
    <x:row r="405" ht="28" customHeight="1">
      <x:c r="A405" s="22" t="str">
        <x:v>升级改动</x:v>
      </x:c>
      <x:c r="B405" s="23" t="str">
        <x:f>'75张卡牌'!AS13</x:f>
        <x:v>格挡6→9</x:v>
      </x:c>
      <x:c r="C405" s="23" t="str">
        <x:f>'75张卡牌'!AG13</x:f>
        <x:v>生成牌本回合变为0费</x:v>
      </x:c>
      <x:c r="D405" s="23" t="str">
        <x:f>'75张卡牌'!BX13</x:f>
        <x:v>护甲6→8；力量3→4；金币25→30</x:v>
      </x:c>
      <x:c r="E405" s="23" t="str">
        <x:f>'75张卡牌'!J13</x:f>
        <x:v>伤害7→9；占卜2→3</x:v>
      </x:c>
      <x:c r="F405" s="23" t="str">
        <x:f>'75张卡牌'!W13</x:f>
        <x:v>格挡7→9；占卜3→5</x:v>
      </x:c>
      <x:c r="G405" s="23" t="str">
        <x:f>'75张卡牌'!BD13</x:f>
        <x:v>伤害15→20</x:v>
      </x:c>
    </x:row>
    <x:row r="406" ht="28" customHeight="1">
      <x:c r="A406" s="10" t="str">
        <x:v>关键词 · 基础</x:v>
      </x:c>
      <x:c r="B406" s="11" t="str">
        <x:f>'75张卡牌'!AS14</x:f>
        <x:v>—</x:v>
      </x:c>
      <x:c r="C406" s="11" t="str">
        <x:f>'75张卡牌'!AG14</x:f>
        <x:v>消耗</x:v>
      </x:c>
      <x:c r="D406" s="11" t="str">
        <x:f>'75张卡牌'!BX14</x:f>
        <x:v>消耗</x:v>
      </x:c>
      <x:c r="E406" s="11" t="str">
        <x:f>'75张卡牌'!J14</x:f>
        <x:v>占卜</x:v>
      </x:c>
      <x:c r="F406" s="11" t="str">
        <x:f>'75张卡牌'!W14</x:f>
        <x:v>占卜</x:v>
      </x:c>
      <x:c r="G406" s="11" t="str">
        <x:f>'75张卡牌'!BD14</x:f>
        <x:v>—</x:v>
      </x:c>
    </x:row>
    <x:row r="407" ht="28" customHeight="1">
      <x:c r="A407" s="10" t="str">
        <x:v>设计职责 · 分析</x:v>
      </x:c>
      <x:c r="B407" s="3" t="str">
        <x:f>'75张卡牌'!AS15</x:f>
        <x:v>条件抽牌／防御</x:v>
      </x:c>
      <x:c r="C407" s="3" t="str">
        <x:f>'75张卡牌'!AG15</x:f>
        <x:v>生成／临场解答</x:v>
      </x:c>
      <x:c r="D407" s="3" t="str">
        <x:f>'75张卡牌'!BX15</x:f>
        <x:v>成长／防御／经济选择</x:v>
      </x:c>
      <x:c r="E407" s="3" t="str">
        <x:f>'75张卡牌'!J15</x:f>
        <x:v>筛牌／抽牌／输出</x:v>
      </x:c>
      <x:c r="F407" s="3" t="str">
        <x:f>'75张卡牌'!W15</x:f>
        <x:v>防御／筛牌</x:v>
      </x:c>
      <x:c r="G407" s="3" t="str">
        <x:f>'75张卡牌'!BD15</x:f>
        <x:v>输出／抽牌</x:v>
      </x:c>
    </x:row>
    <x:row r="408" ht="44" customHeight="1">
      <x:c r="A408" s="10" t="str">
        <x:v>时序／使用边界</x:v>
      </x:c>
      <x:c r="B408" s="11" t="str">
        <x:f>'75张卡牌'!AS17</x:f>
        <x:v>抽牌量不随升级增加；需要前置技能牌。</x:v>
      </x:c>
      <x:c r="C408" s="11" t="str">
        <x:f>'75张卡牌'!AG17</x:f>
        <x:v>升级改变生成牌的本回合费用，不保证抽到特定攻击。</x:v>
      </x:c>
      <x:c r="D408" s="11" t="str">
        <x:f>'75张卡牌'!BX17</x:f>
        <x:v>三个选项只选一个；金币属于路线经济收益。</x:v>
      </x:c>
      <x:c r="E408" s="11" t="str">
        <x:f>'75张卡牌'!J17</x:f>
        <x:v>先占卜后抽牌，可筛选本次要抽到的牌。</x:v>
      </x:c>
      <x:c r="F408" s="11" t="str">
        <x:f>'75张卡牌'!W17</x:f>
        <x:v>不直接抽牌；可为后续抽牌或下一回合准备。</x:v>
      </x:c>
      <x:c r="G408" s="11" t="str">
        <x:f>'75张卡牌'!BD17</x:f>
        <x:v>2费带来即时伤害与手牌补充。</x:v>
      </x:c>
    </x:row>
    <x:row r="411" ht="28" customHeight="1">
      <x:c r="A411" s="34" t="str">
        <x:v>11  通用支撑与过渡  ·  13—14 / 14</x:v>
      </x:c>
      <x:c r="B411" s="32"/>
      <x:c r="C411" s="32"/>
      <x:c r="D411" s="32"/>
      <x:c r="E411" s="32"/>
      <x:c r="F411" s="32"/>
      <x:c r="G411" s="32"/>
    </x:row>
    <x:row r="412" ht="30" customHeight="1">
      <x:c r="A412" s="16" t="str">
        <x:v>卡牌名</x:v>
      </x:c>
      <x:c r="B412" s="16" t="str">
        <x:f>'75张卡牌'!V5</x:f>
        <x:v>腰带抽打</x:v>
      </x:c>
      <x:c r="C412" s="17" t="str">
        <x:f>'75张卡牌'!K5</x:f>
        <x:v>化体为空</x:v>
      </x:c>
    </x:row>
    <x:row r="413" ht="28" customHeight="1">
      <x:c r="A413" s="10" t="str">
        <x:v>包内职责 · 分析</x:v>
      </x:c>
      <x:c r="B413" s="35" t="str">
        <x:v>可选补件</x:v>
      </x:c>
      <x:c r="C413" s="35" t="str">
        <x:v>可选补件</x:v>
      </x:c>
    </x:row>
    <x:row r="414" ht="28" customHeight="1">
      <x:c r="A414" s="10" t="str">
        <x:v>英文名</x:v>
      </x:c>
      <x:c r="B414" s="3" t="str">
        <x:f>'75张卡牌'!V6</x:f>
        <x:v>Sash Whip</x:v>
      </x:c>
      <x:c r="C414" s="3" t="str">
        <x:f>'75张卡牌'!K6</x:f>
        <x:v>Empty Body</x:v>
      </x:c>
    </x:row>
    <x:row r="415" ht="28" customHeight="1">
      <x:c r="A415" s="10" t="str">
        <x:v>类型／稀有度</x:v>
      </x:c>
      <x:c r="B415" s="11" t="str">
        <x:v>攻击 / 普通</x:v>
      </x:c>
      <x:c r="C415" s="11" t="str">
        <x:v>技能 / 普通</x:v>
      </x:c>
    </x:row>
    <x:row r="416" ht="28" customHeight="1">
      <x:c r="A416" s="10" t="str">
        <x:v>费用 · 基础</x:v>
      </x:c>
      <x:c r="B416" s="20" t="n">
        <x:f>'75张卡牌'!V9</x:f>
        <x:v>1</x:v>
      </x:c>
      <x:c r="C416" s="20" t="n">
        <x:f>'75张卡牌'!K9</x:f>
        <x:v>1</x:v>
      </x:c>
    </x:row>
    <x:row r="417" ht="28" customHeight="1">
      <x:c r="A417" s="10" t="str">
        <x:v>费用 · 升级</x:v>
      </x:c>
      <x:c r="B417" s="21" t="n">
        <x:f>'75张卡牌'!V10</x:f>
        <x:v>1</x:v>
      </x:c>
      <x:c r="C417" s="21" t="n">
        <x:f>'75张卡牌'!K10</x:f>
        <x:v>1</x:v>
      </x:c>
    </x:row>
    <x:row r="418" ht="44" customHeight="1">
      <x:c r="A418" s="10" t="str">
        <x:v>基础效果</x:v>
      </x:c>
      <x:c r="B418" s="3" t="str">
        <x:f>'75张卡牌'!V11</x:f>
        <x:v>对单个敌人造成8点伤害；若上一张打出的牌是攻击，施加1层虚弱。</x:v>
      </x:c>
      <x:c r="C418" s="3" t="str">
        <x:f>'75张卡牌'!K11</x:f>
        <x:v>获得7点格挡；退出当前姿态。</x:v>
      </x:c>
    </x:row>
    <x:row r="419" ht="44" customHeight="1">
      <x:c r="A419" s="10" t="str">
        <x:v>升级后完整效果</x:v>
      </x:c>
      <x:c r="B419" s="11" t="str">
        <x:f>'75张卡牌'!V12</x:f>
        <x:v>对单个敌人造成10点伤害；若上一张打出的牌是攻击，施加2层虚弱。</x:v>
      </x:c>
      <x:c r="C419" s="11" t="str">
        <x:f>'75张卡牌'!K12</x:f>
        <x:v>获得10点格挡；退出当前姿态。</x:v>
      </x:c>
    </x:row>
    <x:row r="420" ht="28" customHeight="1">
      <x:c r="A420" s="22" t="str">
        <x:v>升级改动</x:v>
      </x:c>
      <x:c r="B420" s="23" t="str">
        <x:f>'75张卡牌'!V13</x:f>
        <x:v>伤害8→10；虚弱1→2</x:v>
      </x:c>
      <x:c r="C420" s="23" t="str">
        <x:f>'75张卡牌'!K13</x:f>
        <x:v>格挡7→10</x:v>
      </x:c>
    </x:row>
    <x:row r="421" ht="28" customHeight="1">
      <x:c r="A421" s="10" t="str">
        <x:v>关键词 · 基础</x:v>
      </x:c>
      <x:c r="B421" s="11" t="str">
        <x:f>'75张卡牌'!V14</x:f>
        <x:v>虚弱</x:v>
      </x:c>
      <x:c r="C421" s="11" t="str">
        <x:f>'75张卡牌'!K14</x:f>
        <x:v>—</x:v>
      </x:c>
    </x:row>
    <x:row r="422" ht="28" customHeight="1">
      <x:c r="A422" s="10" t="str">
        <x:v>设计职责 · 分析</x:v>
      </x:c>
      <x:c r="B422" s="3" t="str">
        <x:f>'75张卡牌'!V15</x:f>
        <x:v>输出／减益</x:v>
      </x:c>
      <x:c r="C422" s="3" t="str">
        <x:f>'75张卡牌'!K15</x:f>
        <x:v>防御／姿态出口</x:v>
      </x:c>
    </x:row>
    <x:row r="423" ht="44" customHeight="1">
      <x:c r="A423" s="10" t="str">
        <x:v>时序／使用边界</x:v>
      </x:c>
      <x:c r="B423" s="11" t="str">
        <x:f>'75张卡牌'!V17</x:f>
        <x:v>按上一张牌类型触发，不能跳过中间的技能牌。</x:v>
      </x:c>
      <x:c r="C423" s="11" t="str">
        <x:f>'75张卡牌'!K17</x:f>
        <x:v>无姿态时不会凭空产生一次姿态切换。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5518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3.33000183105469" hidden="0" customWidth="1"/>
    <x:col min="3" max="3" width="33.33000183105469" hidden="0" customWidth="1"/>
    <x:col min="4" max="4" width="33.33000183105469" hidden="0" customWidth="1"/>
    <x:col min="5" max="5" width="33.33000183105469" hidden="0" customWidth="1"/>
    <x:col min="6" max="6" width="33.33000183105469" hidden="0" customWidth="1"/>
    <x:col min="7" max="7" width="33.33000183105469" hidden="0" customWidth="1"/>
    <x:col min="8" max="8" width="33.33000183105469" hidden="0" customWidth="1"/>
    <x:col min="9" max="9" width="33.33000183105469" hidden="0" customWidth="1"/>
  </x:cols>
  <x:sheetData>
    <x:row r="1" ht="31" customHeight="1">
      <x:c r="A1" s="5" t="str">
        <x:v>观者 · 衍生牌与规则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7" t="str">
        <x:v>8 张固定衍生牌单列；不计入 75 张紫色牌。基础／升级描述的是子牌自身等级，不代表母牌升级就会生成升级版。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5" customHeight="1">
      <x:c r="A4" s="7" t="str">
        <x:v>生成位置与来源分行列出。许愿的三个选择见主卡池；他山之石的随机跨颜色结果不在这里穷举。</x:v>
      </x:c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16" t="str">
        <x:v>衍生卡名</x:v>
      </x:c>
      <x:c r="B5" s="16" t="str">
        <x:v>奇迹</x:v>
      </x:c>
      <x:c r="C5" s="16" t="str">
        <x:v>洞见</x:v>
      </x:c>
      <x:c r="D5" s="16" t="str">
        <x:v>惩恶</x:v>
      </x:c>
      <x:c r="E5" s="16" t="str">
        <x:v>平安</x:v>
      </x:c>
      <x:c r="F5" s="16" t="str">
        <x:v>以暴易暴</x:v>
      </x:c>
      <x:c r="G5" s="16" t="str">
        <x:v>灭除之刃</x:v>
      </x:c>
      <x:c r="H5" s="16" t="str">
        <x:v>贝塔</x:v>
      </x:c>
      <x:c r="I5" s="17" t="str">
        <x:v>欧米伽</x:v>
      </x:c>
    </x:row>
    <x:row r="6" ht="28" customHeight="1">
      <x:c r="A6" s="10" t="str">
        <x:v>英文名</x:v>
      </x:c>
      <x:c r="B6" s="11" t="str">
        <x:v>Miracle</x:v>
      </x:c>
      <x:c r="C6" s="11" t="str">
        <x:v>Insight</x:v>
      </x:c>
      <x:c r="D6" s="11" t="str">
        <x:v>Smite</x:v>
      </x:c>
      <x:c r="E6" s="11" t="str">
        <x:v>Safety</x:v>
      </x:c>
      <x:c r="F6" s="11" t="str">
        <x:v>Through Violence</x:v>
      </x:c>
      <x:c r="G6" s="11" t="str">
        <x:v>Expunger</x:v>
      </x:c>
      <x:c r="H6" s="11" t="str">
        <x:v>Beta</x:v>
      </x:c>
      <x:c r="I6" s="11" t="str">
        <x:v>Omega</x:v>
      </x:c>
    </x:row>
    <x:row r="7" ht="28" customHeight="1">
      <x:c r="A7" s="10" t="str">
        <x:v>类型</x:v>
      </x:c>
      <x:c r="B7" s="3" t="str">
        <x:v>技能</x:v>
      </x:c>
      <x:c r="C7" s="3" t="str">
        <x:v>技能</x:v>
      </x:c>
      <x:c r="D7" s="3" t="str">
        <x:v>攻击</x:v>
      </x:c>
      <x:c r="E7" s="3" t="str">
        <x:v>技能</x:v>
      </x:c>
      <x:c r="F7" s="3" t="str">
        <x:v>攻击</x:v>
      </x:c>
      <x:c r="G7" s="3" t="str">
        <x:v>攻击</x:v>
      </x:c>
      <x:c r="H7" s="3" t="str">
        <x:v>技能</x:v>
      </x:c>
      <x:c r="I7" s="3" t="str">
        <x:v>能力</x:v>
      </x:c>
    </x:row>
    <x:row r="8" ht="28" customHeight="1">
      <x:c r="A8" s="10" t="str">
        <x:v>归属</x:v>
      </x:c>
      <x:c r="B8" s="11" t="str">
        <x:v>特殊／无色</x:v>
      </x:c>
      <x:c r="C8" s="11" t="str">
        <x:v>特殊／无色</x:v>
      </x:c>
      <x:c r="D8" s="11" t="str">
        <x:v>特殊／无色</x:v>
      </x:c>
      <x:c r="E8" s="11" t="str">
        <x:v>特殊／无色</x:v>
      </x:c>
      <x:c r="F8" s="11" t="str">
        <x:v>特殊／无色</x:v>
      </x:c>
      <x:c r="G8" s="11" t="str">
        <x:v>特殊／无色</x:v>
      </x:c>
      <x:c r="H8" s="11" t="str">
        <x:v>特殊／无色</x:v>
      </x:c>
      <x:c r="I8" s="11" t="str">
        <x:v>特殊／无色</x:v>
      </x:c>
    </x:row>
    <x:row r="9" ht="28" customHeight="1">
      <x:c r="A9" s="10" t="str">
        <x:v>费用 · 基础</x:v>
      </x:c>
      <x:c r="B9" s="20" t="n">
        <x:v>0</x:v>
      </x:c>
      <x:c r="C9" s="20" t="n">
        <x:v>0</x:v>
      </x:c>
      <x:c r="D9" s="20" t="n">
        <x:v>1</x:v>
      </x:c>
      <x:c r="E9" s="20" t="n">
        <x:v>1</x:v>
      </x:c>
      <x:c r="F9" s="20" t="n">
        <x:v>0</x:v>
      </x:c>
      <x:c r="G9" s="20" t="n">
        <x:v>1</x:v>
      </x:c>
      <x:c r="H9" s="20" t="n">
        <x:v>2</x:v>
      </x:c>
      <x:c r="I9" s="20" t="n">
        <x:v>3</x:v>
      </x:c>
    </x:row>
    <x:row r="10" ht="28" customHeight="1">
      <x:c r="A10" s="10" t="str">
        <x:v>费用 · 升级</x:v>
      </x:c>
      <x:c r="B10" s="21" t="n">
        <x:v>0</x:v>
      </x:c>
      <x:c r="C10" s="21" t="n">
        <x:v>0</x:v>
      </x:c>
      <x:c r="D10" s="21" t="n">
        <x:v>1</x:v>
      </x:c>
      <x:c r="E10" s="21" t="n">
        <x:v>1</x:v>
      </x:c>
      <x:c r="F10" s="21" t="n">
        <x:v>0</x:v>
      </x:c>
      <x:c r="G10" s="21" t="n">
        <x:v>1</x:v>
      </x:c>
      <x:c r="H10" s="21" t="n">
        <x:v>1</x:v>
      </x:c>
      <x:c r="I10" s="21" t="n">
        <x:v>3</x:v>
      </x:c>
    </x:row>
    <x:row r="11" ht="44" customHeight="1">
      <x:c r="A11" s="10" t="str">
        <x:v>基础效果</x:v>
      </x:c>
      <x:c r="B11" s="3" t="str">
        <x:v>保留。获得1点能量。消耗。</x:v>
      </x:c>
      <x:c r="C11" s="3" t="str">
        <x:v>保留。抽2张牌。消耗。</x:v>
      </x:c>
      <x:c r="D11" s="3" t="str">
        <x:v>保留。对单个敌人造成12点伤害。消耗。</x:v>
      </x:c>
      <x:c r="E11" s="3" t="str">
        <x:v>保留。获得12点格挡。消耗。</x:v>
      </x:c>
      <x:c r="F11" s="3" t="str">
        <x:v>保留。对单个敌人造成20点伤害。消耗。</x:v>
      </x:c>
      <x:c r="G11" s="3" t="str">
        <x:v>对单个敌人造成9点伤害，重复N次。</x:v>
      </x:c>
      <x:c r="H11" s="3" t="str">
        <x:v>将1张欧米伽洗入抽牌堆。消耗。</x:v>
      </x:c>
      <x:c r="I11" s="3" t="str">
        <x:v>每回合结束时，对所有敌人造成50点伤害。</x:v>
      </x:c>
    </x:row>
    <x:row r="12" ht="44" customHeight="1">
      <x:c r="A12" s="10" t="str">
        <x:v>升级后完整效果</x:v>
      </x:c>
      <x:c r="B12" s="11" t="str">
        <x:v>保留。获得2点能量。消耗。</x:v>
      </x:c>
      <x:c r="C12" s="11" t="str">
        <x:v>保留。抽3张牌。消耗。</x:v>
      </x:c>
      <x:c r="D12" s="11" t="str">
        <x:v>保留。对单个敌人造成16点伤害。消耗。</x:v>
      </x:c>
      <x:c r="E12" s="11" t="str">
        <x:v>保留。获得16点格挡。消耗。</x:v>
      </x:c>
      <x:c r="F12" s="11" t="str">
        <x:v>保留。对单个敌人造成30点伤害。消耗。</x:v>
      </x:c>
      <x:c r="G12" s="11" t="str">
        <x:v>对单个敌人造成15点伤害，重复N次。</x:v>
      </x:c>
      <x:c r="H12" s="11" t="str">
        <x:v>将1张欧米伽洗入抽牌堆。消耗。</x:v>
      </x:c>
      <x:c r="I12" s="11" t="str">
        <x:v>每回合结束时，对所有敌人造成60点伤害。</x:v>
      </x:c>
    </x:row>
    <x:row r="13" ht="28" customHeight="1">
      <x:c r="A13" s="10" t="str">
        <x:v>生成来源</x:v>
      </x:c>
      <x:c r="B13" s="3" t="str">
        <x:v>净水／圣水；机械降神；收集</x:v>
      </x:c>
      <x:c r="C13" s="3" t="str">
        <x:v>评估；祈祷；研习</x:v>
      </x:c>
      <x:c r="D13" s="3" t="str">
        <x:v>改造现实；战歌</x:v>
      </x:c>
      <x:c r="E13" s="3" t="str">
        <x:v>欺瞒现实</x:v>
      </x:c>
      <x:c r="F13" s="3" t="str">
        <x:v>立地升天</x:v>
      </x:c>
      <x:c r="G13" s="3" t="str">
        <x:v>聚能成刃</x:v>
      </x:c>
      <x:c r="H13" s="3" t="str">
        <x:v>阿尔法</x:v>
      </x:c>
      <x:c r="I13" s="3" t="str">
        <x:v>贝塔</x:v>
      </x:c>
    </x:row>
    <x:row r="14" ht="44" customHeight="1">
      <x:c r="A14" s="10" t="str">
        <x:v>使用边界</x:v>
      </x:c>
      <x:c r="B14" s="11" t="str">
        <x:v>收集直接生成奇迹+；机械降神默认生成普通奇迹。</x:v>
      </x:c>
      <x:c r="C14" s="11" t="str">
        <x:v>这三张母牌默认把洞见洗入抽牌堆，而不是直接加入手牌。</x:v>
      </x:c>
      <x:c r="D14" s="11" t="str">
        <x:v>直接加入手牌；仍需支付1能量打出。</x:v>
      </x:c>
      <x:c r="E14" s="11" t="str">
        <x:v>母牌和子牌各支付1费，可分在不同回合使用。</x:v>
      </x:c>
      <x:c r="F14" s="11" t="str">
        <x:v>0费的延迟攻击；先洗入抽牌堆，抽到后可保留。</x:v>
      </x:c>
      <x:c r="G14" s="11" t="str">
        <x:v>N是生成时记录的X或X+1；此牌打出费用为1，且本身不消耗。</x:v>
      </x:c>
      <x:c r="H14" s="11" t="str">
        <x:v>升级只将自身费用2→1，不自动生成欧米伽+。</x:v>
      </x:c>
      <x:c r="I14" s="11" t="str">
        <x:v>能力伤害，不是攻击伤害；无愤怒／神格倍率。</x:v>
      </x:c>
    </x:row>
    <x:row r="15" ht="44" customHeight="1">
      <x:c r="A15" s="10" t="str">
        <x:v>效果来源</x:v>
      </x:c>
      <x:c r="B15" s="38" t="str">
        <x:v>https://www.slaythespire.gg/cards/colorless/Miracle</x:v>
      </x:c>
      <x:c r="C15" s="38" t="str">
        <x:v>https://www.slaythespire.gg/cards/colorless/Insight</x:v>
      </x:c>
      <x:c r="D15" s="38" t="str">
        <x:v>https://www.slaythespire.gg/cards/colorless/Smite</x:v>
      </x:c>
      <x:c r="E15" s="38" t="str">
        <x:v>https://www.slaythespire.gg/cards/colorless/Safety</x:v>
      </x:c>
      <x:c r="F15" s="38" t="str">
        <x:v>https://www.slaythespire.gg/cards/colorless/Through_Violence</x:v>
      </x:c>
      <x:c r="G15" s="38" t="str">
        <x:v>https://www.slaythespire.gg/cards/colorless/Expunger</x:v>
      </x:c>
      <x:c r="H15" s="38" t="str">
        <x:v>https://www.slaythespire.gg/cards/colorless/Beta</x:v>
      </x:c>
      <x:c r="I15" s="38" t="str">
        <x:v>https://www.slaythespire.gg/cards/colorless/Omega</x:v>
      </x:c>
    </x:row>
    <x:row r="17" ht="25" customHeight="1">
      <x:c r="A17" s="29" t="str">
        <x:v>衍生牌中文名：灰机中文维基“无色特殊攻击牌／技能牌”；Miracle 英文页能量图标缺失，按中文资料核为1→2能量。</x:v>
      </x:c>
    </x:row>
    <x:row r="18" ht="24" customHeight="1">
      <x:c r="A18" s="3" t="str">
        <x:v>中文攻击衍生牌</x:v>
      </x:c>
      <x:c r="B18" s="31" t="str">
        <x:v>https://sts.huijiwiki.com/wiki/无色特殊攻击牌</x:v>
      </x:c>
    </x:row>
    <x:row r="19" ht="24" customHeight="1">
      <x:c r="A19" s="3" t="str">
        <x:v>中文技能衍生牌</x:v>
      </x:c>
      <x:c r="B19" s="31" t="str">
        <x:v>https://sts.huijiwiki.com/wiki/无色特殊技能牌</x:v>
      </x:c>
    </x:row>
    <x:row r="22" ht="30" customHeight="1">
      <x:c r="A22" s="16" t="str">
        <x:v>关键规则</x:v>
      </x:c>
      <x:c r="B22" s="16" t="str">
        <x:v>规则摘要</x:v>
      </x:c>
      <x:c r="C22" s="16" t="str">
        <x:v>设计参考／边界</x:v>
      </x:c>
      <x:c r="D22" s="17" t="str">
        <x:v>资料入口</x:v>
      </x:c>
    </x:row>
    <x:row r="23" ht="72" customHeight="1">
      <x:c r="A23" s="3" t="str">
        <x:v>愤怒 Wrath</x:v>
      </x:c>
      <x:c r="B23" s="3" t="str">
        <x:v>攻击造成的伤害×2；受到的攻击伤害×2。</x:v>
      </x:c>
      <x:c r="C23" s="3" t="str">
        <x:v>点穴的生命流失、欧米伽的能力伤害不因此翻倍。</x:v>
      </x:c>
      <x:c r="D23" s="38" t="str">
        <x:v>https://slay-the-spire.fandom.com/wiki/Wrath</x:v>
      </x:c>
    </x:row>
    <x:row r="24" ht="72" customHeight="1">
      <x:c r="A24" s="11" t="str">
        <x:v>平静 Calm</x:v>
      </x:c>
      <x:c r="B24" s="11" t="str">
        <x:v>退出平静时获得2能量；进入时本身不直接给能量。</x:v>
      </x:c>
      <x:c r="C24" s="11" t="str">
        <x:v>从平静切到其他姿态或退出到无姿态都可触发；再次进入同姿态不算退出。</x:v>
      </x:c>
      <x:c r="D24" s="27" t="str">
        <x:v>https://slay-the-spire.fandom.com/wiki/Calm</x:v>
      </x:c>
    </x:row>
    <x:row r="25" ht="72" customHeight="1">
      <x:c r="A25" s="3" t="str">
        <x:v>神格 Divinity</x:v>
      </x:c>
      <x:c r="B25" s="3" t="str">
        <x:v>进入时获得3能量；攻击伤害×3；下个自己的回合开始时退出。</x:v>
      </x:c>
      <x:c r="C25" s="3" t="str">
        <x:v>从平静切到神格还会结算退出平静的2能量；神格不增加受到的攻击伤害。</x:v>
      </x:c>
      <x:c r="D25" s="38" t="str">
        <x:v>https://slay-the-spire.fandom.com/wiki/Divinity</x:v>
      </x:c>
    </x:row>
    <x:row r="26" ht="72" customHeight="1">
      <x:c r="A26" s="11" t="str">
        <x:v>真言 Mantra</x:v>
      </x:c>
      <x:c r="B26" s="11" t="str">
        <x:v>不在神格时，达到10层消耗10层并入神格，溢出保留；神格期间继续累积，下一回合退出后可再次判定入场。</x:v>
      </x:c>
      <x:c r="C26" s="11" t="str">
        <x:v>光辉读取本战斗累计获得的真言；渎神直接入神格而不产真言。</x:v>
      </x:c>
      <x:c r="D26" s="27" t="str">
        <x:v>https://slay-the-spire.fandom.com/wiki/Divinity</x:v>
      </x:c>
    </x:row>
    <x:row r="27" ht="72" customHeight="1">
      <x:c r="A27" s="3" t="str">
        <x:v>占卜 Scry</x:v>
      </x:c>
      <x:c r="B27" s="3" t="str">
        <x:v>查看抽牌堆顶部若干张，选择其中哪些移入弃牌堆，其余留在抽牌堆。</x:v>
      </x:c>
      <x:c r="C27" s="3" t="str">
        <x:v>不会自动抽牌或因抽牌堆空而洗牌；空堆占卜不会回收迂回。</x:v>
      </x:c>
      <x:c r="D27" s="38" t="str">
        <x:v>https://slay-the-spire.fandom.com/wiki/Scry</x:v>
      </x:c>
    </x:row>
    <x:row r="28" ht="72" customHeight="1">
      <x:c r="A28" s="11" t="str">
        <x:v>保留 Retain</x:v>
      </x:c>
      <x:c r="B28" s="11" t="str">
        <x:v>回合结束时不把该牌作为普通手牌弃掉。</x:v>
      </x:c>
      <x:c r="C28" s="11" t="str">
        <x:v>确立基础在保留结算时降费；冥想赋予的是该次回合结束的保留。</x:v>
      </x:c>
      <x:c r="D28" s="27" t="str">
        <x:v>https://slay-the-spire.fandom.com/wiki/Retain</x:v>
      </x:c>
    </x:row>
    <x:row r="29" ht="72" customHeight="1">
      <x:c r="A29" s="3" t="str">
        <x:v>消耗／虚无／固有</x:v>
      </x:c>
      <x:c r="B29" s="3" t="str">
        <x:v>消耗：移出本场常规循环；虚无：回合结束仍在手里则消耗；固有：进入起手。</x:v>
      </x:c>
      <x:c r="C29" s="3" t="str">
        <x:v>能力牌打出后进入能力区，通常也不再随抽弃牌循环；能力与消耗不是同一关键词。</x:v>
      </x:c>
      <x:c r="D29" s="38" t="str">
        <x:v>https://slaythespire.wiki.gg/wiki/Keywords</x:v>
      </x:c>
    </x:row>
    <x:row r="30" ht="72" customHeight="1">
      <x:c r="A30" s="11" t="str">
        <x:v>印记 Mark</x:v>
      </x:c>
      <x:c r="B30" s="11" t="str">
        <x:v>点穴施加后，使所有敌人按各自已有印记流失生命；通常不会在触发时清空。</x:v>
      </x:c>
      <x:c r="C30" s="11" t="str">
        <x:v>与霜月阈值清空型月痕不同；不能把两者的层数效率直接等同。</x:v>
      </x:c>
      <x:c r="D30" s="27" t="str">
        <x:v>https://www.slaythespire.gg/cards/watcher/Pressure_Points</x:v>
      </x:c>
    </x:row>
    <x:row r="31" ht="72" customHeight="1">
      <x:c r="A31" s="3" t="str">
        <x:v>多段与事件粒度</x:v>
      </x:c>
      <x:c r="B31" s="3" t="str">
        <x:v>以手拒之按攻击伤害段触发格挡；摆手按每次获得格挡触发。</x:v>
      </x:c>
      <x:c r="C31" s="3" t="str">
        <x:v>设计月蚀时应分别定义一次出牌、每段攻击、造成伤害和获得格挡，避免隐性倍增。</x:v>
      </x:c>
      <x:c r="D31" s="38" t="str">
        <x:v>https://www.slaythespire.gg/cards/watcher/Talk_to_the_Hand</x:v>
      </x:c>
    </x:row>
    <x:row r="32" ht="72" customHeight="1">
      <x:c r="A32" s="11" t="str">
        <x:v>母牌与子牌升级</x:v>
      </x:c>
      <x:c r="B32" s="11" t="str">
        <x:v>评估、祈祷、改造现实、欺瞒现实、立地升天升级后，默认仍生成普通子牌。</x:v>
      </x:c>
      <x:c r="C32" s="11" t="str">
        <x:v>操控现实改变生成时的等级；收集明确生成奇迹+。</x:v>
      </x:c>
      <x:c r="D32" s="27" t="str">
        <x:v>https://www.slaythespire.gg/cards/watcher/Master_Reality</x:v>
      </x:c>
    </x:row>
    <x:row r="33" ht="24" customHeight="1">
      <x:c r="A33" s="3"/>
      <x:c r="B33" s="3"/>
      <x:c r="C33" s="3"/>
      <x:c r="D33" s="3"/>
    </x:row>
    <x:row r="35" ht="30" customHeight="1">
      <x:c r="A35" s="16" t="str">
        <x:v>辅助例子</x:v>
      </x:c>
      <x:c r="B35" s="16" t="str">
        <x:v>具体过程</x:v>
      </x:c>
      <x:c r="C35" s="17" t="str">
        <x:v>成立条件</x:v>
      </x:c>
    </x:row>
    <x:row r="36" ht="100" customHeight="1">
      <x:c r="A36" s="3" t="str">
        <x:v>循环示例（分析）</x:v>
      </x:c>
      <x:c r="B36" s="3" t="str">
        <x:v>猛虎下山已生效，起点为平静：暴怒+ → 内心宁静。两牌共付2能量，退出平静返2；入愤怒抽2。</x:v>
      </x:c>
      <x:c r="C36" s="3" t="str">
        <x:v>这是资源收支示例。还须能稳定重抽这两张牌，并解决启动与防御；凑齐牌名不等于已无限。</x:v>
      </x:c>
    </x:row>
    <x:row r="37" ht="100" customHeight="1">
      <x:c r="A37" s="11" t="str">
        <x:v>点穴示例（算术）</x:v>
      </x:c>
      <x:c r="B37" s="11" t="str">
        <x:v>同一无人工制品目标，连续打出两次未升级点穴：第一次8生命流失；第二次16；累计24。</x:v>
      </x:c>
      <x:c r="C37" s="11" t="str">
        <x:v>按同一目标、无额外规则修改计算。每次只对选定目标加印记，但兑现所有目标已有印记。</x:v>
      </x:c>
    </x:row>
    <x:row r="38" ht="100" customHeight="1">
      <x:c r="A38" s="3" t="str">
        <x:v>多段示例（算术）</x:v>
      </x:c>
      <x:c r="B38" s="3" t="str">
        <x:v>火焰纹+的8点加成接未升级诸神之黄昏：每击5+8，重复5次，合计65基础伤害。</x:v>
      </x:c>
      <x:c r="C38" s="3" t="str">
        <x:v>不含力量、易伤、姿态、格挡等修正；多敌人时会分散。应先决定月蚀是否继承攻击加成。</x:v>
      </x:c>
    </x:row>
    <x:row r="39" ht="100" customHeight="1">
      <x:c r="A39" s="11" t="str">
        <x:v>初始卡组口径</x:v>
      </x:c>
      <x:c r="B39" s="11" t="str">
        <x:v>打击×4、防御×4、暴怒×1、警惕×1，共10张。初始遗物净水生成的奇迹不算永久初始牌组。</x:v>
      </x:c>
      <x:c r="C39" s="11" t="str">
        <x:v>“75张”是卡牌种类数量；不把初始牌副本、升级版或固定衍生牌重复计入。</x:v>
      </x:c>
    </x:row>
  </x:sheetData>
  <x:pageMargins left="0.7" right="0.7" top="0.75" bottom="0.75" header="0.3" footer="0.3"/>
</x:worksheet>
</file>