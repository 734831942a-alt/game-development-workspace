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073bcbfe2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摘要" sheetId="1" r:id="R90571fe370b84e35"/>
    <x:sheet xmlns:r="http://schemas.openxmlformats.org/officeDocument/2006/relationships" name="15张原型" sheetId="2" r:id="Rc12b46e8b8a34931"/>
    <x:sheet xmlns:r="http://schemas.openxmlformats.org/officeDocument/2006/relationships" name="参数试验" sheetId="3" r:id="Ra68565d7561c4a91"/>
    <x:sheet xmlns:r="http://schemas.openxmlformats.org/officeDocument/2006/relationships" name="若叶睦卡池" sheetId="4" r:id="Ra804aa49a0ac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%"/>
  </x:numFmts>
  <x:fonts count="7">
    <x:font>
      <x:sz val="11"/>
      <x:name val="Carlito"/>
    </x:font>
    <x:font>
      <x:sz val="11"/>
      <x:color rgb="FF20283A"/>
      <x:name val="Arial"/>
    </x:font>
    <x:font>
      <x:b/>
      <x:sz val="16"/>
      <x:color rgb="FF29334D"/>
      <x:name val="Arial"/>
    </x:font>
    <x:font>
      <x:i/>
      <x:sz val="11"/>
      <x:color rgb="FF627087"/>
      <x:name val="Arial"/>
    </x:font>
    <x:font>
      <x:b/>
      <x:sz val="11"/>
      <x:color rgb="FFFFFFFF"/>
      <x:name val="Arial"/>
    </x:font>
    <x:font>
      <x:b/>
      <x:sz val="11"/>
      <x:color rgb="FF20283A"/>
      <x:name val="Arial"/>
    </x:font>
    <x:font>
      <x:sz val="11"/>
      <x:color rgb="FF62708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9334D"/>
      </x:patternFill>
    </x:fill>
    <x:fill>
      <x:patternFill patternType="solid">
        <x:fgColor rgb="FFF5F6FA"/>
      </x:patternFill>
    </x:fill>
    <x:fill>
      <x:patternFill patternType="solid">
        <x:fgColor rgb="FFFFF1CC"/>
      </x:patternFill>
    </x:fill>
    <x:fill>
      <x:patternFill patternType="solid">
        <x:fgColor rgb="FFF2EE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CD3DE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right" vertical="top" wrapText="1"/>
    </x:xf>
    <x:xf numFmtId="200" fontId="1" fillId="5" borderId="0" xfId="0" applyNumberFormat="1" applyFont="1" applyFill="1" applyBorder="1" applyAlignment="1">
      <x:alignment horizontal="right" vertical="top" wrapText="1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8b6405a6e4883" /><Relationship Type="http://schemas.openxmlformats.org/officeDocument/2006/relationships/theme" Target="/xl/theme/theme1.xml" Id="R9f03659ff4f2472b" /><Relationship Type="http://schemas.openxmlformats.org/officeDocument/2006/relationships/sharedStrings" Target="/xl/sharedStrings.xml" Id="R92c6aac67b0c4bff" /><Relationship Type="http://schemas.openxmlformats.org/officeDocument/2006/relationships/worksheet" Target="/xl/worksheets/sheet1.xml" Id="R90571fe370b84e35" /><Relationship Type="http://schemas.openxmlformats.org/officeDocument/2006/relationships/worksheet" Target="/xl/worksheets/sheet2.xml" Id="Rc12b46e8b8a34931" /><Relationship Type="http://schemas.openxmlformats.org/officeDocument/2006/relationships/worksheet" Target="/xl/worksheets/sheet3.xml" Id="Ra68565d7561c4a91" /><Relationship Type="http://schemas.openxmlformats.org/officeDocument/2006/relationships/worksheet" Target="/xl/worksheets/sheet4.xml" Id="Ra804aa49a0ac4718" /></Relationships>
</file>

<file path=xl/tables/table1.xml><?xml version="1.0" encoding="utf-8"?>
<x:table xmlns:x="http://schemas.openxmlformats.org/spreadsheetml/2006/main" id="2" name="FrostmoonPrototype" displayName="FrostmoonPrototype" ref="A6:L21" headerRowCount="1" totalsRowCount="0" totalsRowShown="0">
  <x:autoFilter ref="A6:L21"/>
  <x:tableColumns count="12">
    <x:tableColumn id="1" name="ID"/>
    <x:tableColumn id="2" name="卡名"/>
    <x:tableColumn id="3" name="分组"/>
    <x:tableColumn id="4" name="费用"/>
    <x:tableColumn id="5" name="类型"/>
    <x:tableColumn id="6" name="稀有度"/>
    <x:tableColumn id="7" name="目标"/>
    <x:tableColumn id="8" name="基础效果"/>
    <x:tableColumn id="9" name="升级变化"/>
    <x:tableColumn id="10" name="设计职责"/>
    <x:tableColumn id="11" name="适用构筑"/>
    <x:tableColumn id="12" name="首轮要观察什么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3" name="PrototypeParameters" displayName="PrototypeParameters" ref="A6:E18" headerRowCount="1" totalsRowCount="0" totalsRowShown="0">
  <x:autoFilter ref="A6:E18"/>
  <x:tableColumns count="5">
    <x:tableColumn id="1" name="参数"/>
    <x:tableColumn id="2" name="单位"/>
    <x:tableColumn id="3" name="当前起测值"/>
    <x:tableColumn id="4" name="建议对照"/>
    <x:tableColumn id="5" name="观察目的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" name="MutsumiCards" displayName="MutsumiCards" ref="A6:W99" headerRowCount="1" totalsRowCount="0" totalsRowShown="0">
  <x:autoFilter ref="A6:W99"/>
  <x:tableColumns count="23">
    <x:tableColumn id="1" name="Card ID"/>
    <x:tableColumn id="2" name="卡名"/>
    <x:tableColumn id="3" name="费用"/>
    <x:tableColumn id="4" name="类型"/>
    <x:tableColumn id="5" name="稀有度"/>
    <x:tableColumn id="6" name="基础效果"/>
    <x:tableColumn id="7" name="升级变化"/>
    <x:tableColumn id="8" name="固定关键词"/>
    <x:tableColumn id="9" name="构筑标签"/>
    <x:tableColumn id="10" name="设计职责"/>
    <x:tableColumn id="11" name="升级分类"/>
    <x:tableColumn id="12" name="获得范围"/>
    <x:tableColumn id="13" name="模式限制"/>
    <x:tableColumn id="14" name="纯Utility"/>
    <x:tableColumn id="15" name="设计判断与核对备注"/>
    <x:tableColumn id="16" name="Generator"/>
    <x:tableColumn id="17" name="Consumer"/>
    <x:tableColumn id="18" name="Payoff"/>
    <x:tableColumn id="19" name="Enabler"/>
    <x:tableColumn id="20" name="Bridge"/>
    <x:tableColumn id="21" name="Build-around"/>
    <x:tableColumn id="22" name="Utility"/>
    <x:tableColumn id="23" name="源码定位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f79ee4ac1348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0cb7aa450143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20f9000cd748ea" /></Relationships>
</file>

<file path=xl/worksheets/sheet1.xml><?xml version="1.0" encoding="utf-8"?>
<x:worksheet xmlns:x="http://schemas.openxmlformats.org/spreadsheetml/2006/main">
  <x:sheetPr>
    <x:tabColor rgb="FF29334D"/>
  </x:sheetPr>
  <x:sheetViews>
    <x:sheetView showGridLines="0" workbookViewId="0"/>
  </x:sheetViews>
  <x:sheetFormatPr defaultRowHeight="15"/>
  <x:cols>
    <x:col min="1" max="1" width="24.440000534057617" hidden="0" customWidth="1"/>
    <x:col min="2" max="2" width="11.109999656677246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3.890000343322754" hidden="0" customWidth="1"/>
    <x:col min="7" max="7" width="13.890000343322754" hidden="0" customWidth="1"/>
    <x:col min="8" max="8" width="2.440000057220459" hidden="0" customWidth="1"/>
    <x:col min="9" max="9" width="21.670000076293945" hidden="0" customWidth="1"/>
    <x:col min="10" max="10" width="15" hidden="0" customWidth="1"/>
    <x:col min="11" max="11" width="15.560000419616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若叶睦卡池研究与霜月原型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5" customHeight="1">
      <x:c r="A4" s="5" t="str">
        <x:v>2026年10月3日。参考源码已逐类核对；构筑标签为研究者判断，未实测平衡。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12" t="str">
        <x:v>源码稀有度</x:v>
      </x:c>
      <x:c r="B6" s="12" t="str">
        <x:v>卡牌类数</x:v>
      </x:c>
      <x:c r="C6" s="12" t="str">
        <x:v>仅限多人</x:v>
      </x:c>
      <x:c r="D6" s="12" t="str">
        <x:v>单人可用</x:v>
      </x:c>
      <x:c r="E6" s="12" t="str">
        <x:v>Bridge</x:v>
      </x:c>
      <x:c r="F6" s="12" t="str">
        <x:v>纯Utility</x:v>
      </x:c>
      <x:c r="G6" s="12" t="str">
        <x:v>Build-around</x:v>
      </x:c>
      <x:c r="H6" s="2"/>
      <x:c r="I6" s="12" t="str">
        <x:v>普通奖励中的职责</x:v>
      </x:c>
      <x:c r="J6" s="12" t="str">
        <x:v>张数</x:v>
      </x:c>
      <x:c r="K6" s="12" t="str">
        <x:v>占85张比例</x:v>
      </x:c>
    </x:row>
    <x:row r="7" ht="25" customHeight="1">
      <x:c r="A7" s="2" t="str">
        <x:v>Common</x:v>
      </x:c>
      <x:c r="B7" s="2" t="n">
        <x:f>COUNTIFS('若叶睦卡池'!$E$7:$E$99,A7)</x:f>
        <x:v>20</x:v>
      </x:c>
      <x:c r="C7" s="2" t="n">
        <x:f>COUNTIFS('若叶睦卡池'!$E$7:$E$99,A7,'若叶睦卡池'!$M$7:$M$99,"仅多人")</x:f>
        <x:v>0</x:v>
      </x:c>
      <x:c r="D7" s="2" t="n">
        <x:f>B7-C7</x:f>
        <x:v>20</x:v>
      </x:c>
      <x:c r="E7" s="2" t="n">
        <x:f>COUNTIFS('若叶睦卡池'!$E$7:$E$99,A7,'若叶睦卡池'!$T$7:$T$99,"是")</x:f>
        <x:v>7</x:v>
      </x:c>
      <x:c r="F7" s="2" t="n">
        <x:f>COUNTIFS('若叶睦卡池'!$E$7:$E$99,A7,'若叶睦卡池'!$N$7:$N$99,"是")</x:f>
        <x:v>2</x:v>
      </x:c>
      <x:c r="G7" s="2" t="n">
        <x:f>COUNTIFS('若叶睦卡池'!$E$7:$E$99,A7,'若叶睦卡池'!$U$7:$U$99,"是")</x:f>
        <x:v>0</x:v>
      </x:c>
      <x:c r="H7" s="2"/>
      <x:c r="I7" s="2" t="str">
        <x:v>Generator</x:v>
      </x:c>
      <x:c r="J7" s="2" t="n">
        <x:f>COUNTIFS('若叶睦卡池'!$L$7:$L$99,"普通奖励",'若叶睦卡池'!$P$7:$P$99,"是")</x:f>
        <x:v>56</x:v>
      </x:c>
      <x:c r="K7" s="22" t="n">
        <x:f>J7/$B$14</x:f>
        <x:v>0.6588235294117647</x:v>
      </x:c>
    </x:row>
    <x:row r="8" ht="25" customHeight="1">
      <x:c r="A8" s="2" t="str">
        <x:v>Uncommon</x:v>
      </x:c>
      <x:c r="B8" s="2" t="n">
        <x:f>COUNTIFS('若叶睦卡池'!$E$7:$E$99,A8)</x:f>
        <x:v>38</x:v>
      </x:c>
      <x:c r="C8" s="2" t="n">
        <x:f>COUNTIFS('若叶睦卡池'!$E$7:$E$99,A8,'若叶睦卡池'!$M$7:$M$99,"仅多人")</x:f>
        <x:v>3</x:v>
      </x:c>
      <x:c r="D8" s="2" t="n">
        <x:f>B8-C8</x:f>
        <x:v>35</x:v>
      </x:c>
      <x:c r="E8" s="2" t="n">
        <x:f>COUNTIFS('若叶睦卡池'!$E$7:$E$99,A8,'若叶睦卡池'!$T$7:$T$99,"是")</x:f>
        <x:v>10</x:v>
      </x:c>
      <x:c r="F8" s="2" t="n">
        <x:f>COUNTIFS('若叶睦卡池'!$E$7:$E$99,A8,'若叶睦卡池'!$N$7:$N$99,"是")</x:f>
        <x:v>5</x:v>
      </x:c>
      <x:c r="G8" s="2" t="n">
        <x:f>COUNTIFS('若叶睦卡池'!$E$7:$E$99,A8,'若叶睦卡池'!$U$7:$U$99,"是")</x:f>
        <x:v>11</x:v>
      </x:c>
      <x:c r="H8" s="2"/>
      <x:c r="I8" s="2" t="str">
        <x:v>Consumer</x:v>
      </x:c>
      <x:c r="J8" s="2" t="n">
        <x:f>COUNTIFS('若叶睦卡池'!$L$7:$L$99,"普通奖励",'若叶睦卡池'!$Q$7:$Q$99,"是")</x:f>
        <x:v>11</x:v>
      </x:c>
      <x:c r="K8" s="22" t="n">
        <x:f>J8/$B$14</x:f>
        <x:v>0.12941176470588237</x:v>
      </x:c>
    </x:row>
    <x:row r="9" ht="25" customHeight="1">
      <x:c r="A9" s="2" t="str">
        <x:v>Rare</x:v>
      </x:c>
      <x:c r="B9" s="2" t="n">
        <x:f>COUNTIFS('若叶睦卡池'!$E$7:$E$99,A9)</x:f>
        <x:v>27</x:v>
      </x:c>
      <x:c r="C9" s="2" t="n">
        <x:f>COUNTIFS('若叶睦卡池'!$E$7:$E$99,A9,'若叶睦卡池'!$M$7:$M$99,"仅多人")</x:f>
        <x:v>2</x:v>
      </x:c>
      <x:c r="D9" s="2" t="n">
        <x:f>B9-C9</x:f>
        <x:v>25</x:v>
      </x:c>
      <x:c r="E9" s="2" t="n">
        <x:f>COUNTIFS('若叶睦卡池'!$E$7:$E$99,A9,'若叶睦卡池'!$T$7:$T$99,"是")</x:f>
        <x:v>14</x:v>
      </x:c>
      <x:c r="F9" s="2" t="n">
        <x:f>COUNTIFS('若叶睦卡池'!$E$7:$E$99,A9,'若叶睦卡池'!$N$7:$N$99,"是")</x:f>
        <x:v>0</x:v>
      </x:c>
      <x:c r="G9" s="2" t="n">
        <x:f>COUNTIFS('若叶睦卡池'!$E$7:$E$99,A9,'若叶睦卡池'!$U$7:$U$99,"是")</x:f>
        <x:v>10</x:v>
      </x:c>
      <x:c r="H9" s="2"/>
      <x:c r="I9" s="2" t="str">
        <x:v>Payoff</x:v>
      </x:c>
      <x:c r="J9" s="2" t="n">
        <x:f>COUNTIFS('若叶睦卡池'!$L$7:$L$99,"普通奖励",'若叶睦卡池'!$R$7:$R$99,"是")</x:f>
        <x:v>39</x:v>
      </x:c>
      <x:c r="K9" s="22" t="n">
        <x:f>J9/$B$14</x:f>
        <x:v>0.4588235294117647</x:v>
      </x:c>
    </x:row>
    <x:row r="10" ht="25" customHeight="1">
      <x:c r="A10" s="2" t="str">
        <x:v>Basic</x:v>
      </x:c>
      <x:c r="B10" s="2" t="n">
        <x:f>COUNTIFS('若叶睦卡池'!$E$7:$E$99,A10)</x:f>
        <x:v>4</x:v>
      </x:c>
      <x:c r="C10" s="2" t="n">
        <x:f>COUNTIFS('若叶睦卡池'!$E$7:$E$99,A10,'若叶睦卡池'!$M$7:$M$99,"仅多人")</x:f>
        <x:v>0</x:v>
      </x:c>
      <x:c r="D10" s="2" t="n">
        <x:f>B10-C10</x:f>
        <x:v>4</x:v>
      </x:c>
      <x:c r="E10" s="2" t="n">
        <x:f>COUNTIFS('若叶睦卡池'!$E$7:$E$99,A10,'若叶睦卡池'!$T$7:$T$99,"是")</x:f>
        <x:v>1</x:v>
      </x:c>
      <x:c r="F10" s="2" t="n">
        <x:f>COUNTIFS('若叶睦卡池'!$E$7:$E$99,A10,'若叶睦卡池'!$N$7:$N$99,"是")</x:f>
        <x:v>0</x:v>
      </x:c>
      <x:c r="G10" s="2" t="n">
        <x:f>COUNTIFS('若叶睦卡池'!$E$7:$E$99,A10,'若叶睦卡池'!$U$7:$U$99,"是")</x:f>
        <x:v>0</x:v>
      </x:c>
      <x:c r="H10" s="2"/>
      <x:c r="I10" s="2" t="str">
        <x:v>Enabler</x:v>
      </x:c>
      <x:c r="J10" s="2" t="n">
        <x:f>COUNTIFS('若叶睦卡池'!$L$7:$L$99,"普通奖励",'若叶睦卡池'!$S$7:$S$99,"是")</x:f>
        <x:v>35</x:v>
      </x:c>
      <x:c r="K10" s="22" t="n">
        <x:f>J10/$B$14</x:f>
        <x:v>0.4117647058823529</x:v>
      </x:c>
    </x:row>
    <x:row r="11" ht="25" customHeight="1">
      <x:c r="A11" s="2" t="str">
        <x:v>Token</x:v>
      </x:c>
      <x:c r="B11" s="2" t="n">
        <x:f>COUNTIFS('若叶睦卡池'!$E$7:$E$99,A11)</x:f>
        <x:v>2</x:v>
      </x:c>
      <x:c r="C11" s="2" t="n">
        <x:f>COUNTIFS('若叶睦卡池'!$E$7:$E$99,A11,'若叶睦卡池'!$M$7:$M$99,"仅多人")</x:f>
        <x:v>0</x:v>
      </x:c>
      <x:c r="D11" s="2" t="n">
        <x:f>B11-C11</x:f>
        <x:v>2</x:v>
      </x:c>
      <x:c r="E11" s="2" t="n">
        <x:f>COUNTIFS('若叶睦卡池'!$E$7:$E$99,A11,'若叶睦卡池'!$T$7:$T$99,"是")</x:f>
        <x:v>1</x:v>
      </x:c>
      <x:c r="F11" s="2" t="n">
        <x:f>COUNTIFS('若叶睦卡池'!$E$7:$E$99,A11,'若叶睦卡池'!$N$7:$N$99,"是")</x:f>
        <x:v>0</x:v>
      </x:c>
      <x:c r="G11" s="2" t="n">
        <x:f>COUNTIFS('若叶睦卡池'!$E$7:$E$99,A11,'若叶睦卡池'!$U$7:$U$99,"是")</x:f>
        <x:v>0</x:v>
      </x:c>
      <x:c r="H11" s="2"/>
      <x:c r="I11" s="2" t="str">
        <x:v>Bridge</x:v>
      </x:c>
      <x:c r="J11" s="2" t="n">
        <x:f>COUNTIFS('若叶睦卡池'!$L$7:$L$99,"普通奖励",'若叶睦卡池'!$T$7:$T$99,"是")</x:f>
        <x:v>31</x:v>
      </x:c>
      <x:c r="K11" s="22" t="n">
        <x:f>J11/$B$14</x:f>
        <x:v>0.36470588235294116</x:v>
      </x:c>
    </x:row>
    <x:row r="12" ht="25" customHeight="1">
      <x:c r="A12" s="2" t="str">
        <x:v>Ancient</x:v>
      </x:c>
      <x:c r="B12" s="2" t="n">
        <x:f>COUNTIFS('若叶睦卡池'!$E$7:$E$99,A12)</x:f>
        <x:v>2</x:v>
      </x:c>
      <x:c r="C12" s="2" t="n">
        <x:f>COUNTIFS('若叶睦卡池'!$E$7:$E$99,A12,'若叶睦卡池'!$M$7:$M$99,"仅多人")</x:f>
        <x:v>0</x:v>
      </x:c>
      <x:c r="D12" s="2" t="n">
        <x:f>B12-C12</x:f>
        <x:v>2</x:v>
      </x:c>
      <x:c r="E12" s="2" t="n">
        <x:f>COUNTIFS('若叶睦卡池'!$E$7:$E$99,A12,'若叶睦卡池'!$T$7:$T$99,"是")</x:f>
        <x:v>1</x:v>
      </x:c>
      <x:c r="F12" s="2" t="n">
        <x:f>COUNTIFS('若叶睦卡池'!$E$7:$E$99,A12,'若叶睦卡池'!$N$7:$N$99,"是")</x:f>
        <x:v>0</x:v>
      </x:c>
      <x:c r="G12" s="2" t="n">
        <x:f>COUNTIFS('若叶睦卡池'!$E$7:$E$99,A12,'若叶睦卡池'!$U$7:$U$99,"是")</x:f>
        <x:v>1</x:v>
      </x:c>
      <x:c r="H12" s="2"/>
      <x:c r="I12" s="2" t="str">
        <x:v>Build-around</x:v>
      </x:c>
      <x:c r="J12" s="2" t="n">
        <x:f>COUNTIFS('若叶睦卡池'!$L$7:$L$99,"普通奖励",'若叶睦卡池'!$U$7:$U$99,"是")</x:f>
        <x:v>21</x:v>
      </x:c>
      <x:c r="K12" s="22" t="n">
        <x:f>J12/$B$14</x:f>
        <x:v>0.24705882352941178</x:v>
      </x:c>
    </x:row>
    <x:row r="13" ht="25" customHeight="1">
      <x:c r="A13" s="21" t="str">
        <x:v>全部卡牌类</x:v>
      </x:c>
      <x:c r="B13" s="21" t="n">
        <x:f>SUM(B7:B12)</x:f>
        <x:v>93</x:v>
      </x:c>
      <x:c r="C13" s="21" t="n">
        <x:f>SUM(C7:C12)</x:f>
        <x:v>5</x:v>
      </x:c>
      <x:c r="D13" s="21" t="n">
        <x:f>SUM(D7:D12)</x:f>
        <x:v>88</x:v>
      </x:c>
      <x:c r="E13" s="21" t="n">
        <x:f>SUM(E7:E12)</x:f>
        <x:v>34</x:v>
      </x:c>
      <x:c r="F13" s="21" t="n">
        <x:f>SUM(F7:F12)</x:f>
        <x:v>7</x:v>
      </x:c>
      <x:c r="G13" s="21" t="n">
        <x:f>SUM(G7:G12)</x:f>
        <x:v>22</x:v>
      </x:c>
      <x:c r="H13" s="2"/>
      <x:c r="I13" s="2" t="str">
        <x:v>Utility</x:v>
      </x:c>
      <x:c r="J13" s="2" t="n">
        <x:f>COUNTIFS('若叶睦卡池'!$L$7:$L$99,"普通奖励",'若叶睦卡池'!$V$7:$V$99,"是")</x:f>
        <x:v>36</x:v>
      </x:c>
      <x:c r="K13" s="22" t="n">
        <x:f>J13/$B$14</x:f>
        <x:v>0.4235294117647059</x:v>
      </x:c>
    </x:row>
    <x:row r="14" ht="25" customHeight="1">
      <x:c r="A14" s="21" t="str">
        <x:v>普通奖励稀有度</x:v>
      </x:c>
      <x:c r="B14" s="21" t="n">
        <x:f>SUM(B7:B9)</x:f>
        <x:v>85</x:v>
      </x:c>
      <x:c r="C14" s="21" t="n">
        <x:f>SUM(C7:C9)</x:f>
        <x:v>5</x:v>
      </x:c>
      <x:c r="D14" s="21" t="n">
        <x:f>SUM(D7:D9)</x:f>
        <x:v>80</x:v>
      </x:c>
      <x:c r="E14" s="21" t="n">
        <x:f>SUM(E7:E9)</x:f>
        <x:v>31</x:v>
      </x:c>
      <x:c r="F14" s="21" t="n">
        <x:f>SUM(F7:F9)</x:f>
        <x:v>7</x:v>
      </x:c>
      <x:c r="G14" s="21" t="n">
        <x:f>SUM(G7:G9)</x:f>
        <x:v>21</x:v>
      </x:c>
      <x:c r="H14" s="2"/>
      <x:c r="I14" s="2"/>
      <x:c r="J14" s="2"/>
      <x:c r="K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 t="str">
        <x:v>职责允许重叠，不可相加。</x:v>
      </x:c>
      <x:c r="J15" s="2"/>
      <x:c r="K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30" customHeight="1">
      <x:c r="A17" s="12" t="str">
        <x:v>单人普通奖励口径</x:v>
      </x:c>
      <x:c r="B17" s="12" t="str">
        <x:v>张数</x:v>
      </x:c>
      <x:c r="C17" s="12" t="str">
        <x:v>Bridge</x:v>
      </x:c>
      <x:c r="D17" s="12" t="str">
        <x:v>纯Utility</x:v>
      </x:c>
      <x:c r="E17" s="2"/>
      <x:c r="F17" s="2"/>
      <x:c r="G17" s="2"/>
      <x:c r="H17" s="2"/>
      <x:c r="I17" s="2"/>
      <x:c r="J17" s="2"/>
      <x:c r="K17" s="2"/>
    </x:row>
    <x:row r="18" ht="25" customHeight="1">
      <x:c r="A18" s="2" t="str">
        <x:v>排除5张多人牌</x:v>
      </x:c>
      <x:c r="B18" s="2" t="n">
        <x:f>D14</x:f>
        <x:v>80</x:v>
      </x:c>
      <x:c r="C18" s="2" t="n">
        <x:f>COUNTIFS('若叶睦卡池'!$L$7:$L$99,"普通奖励",'若叶睦卡池'!$M$7:$M$99,"单人可用",'若叶睦卡池'!$T$7:$T$99,"是")</x:f>
        <x:v>27</x:v>
      </x:c>
      <x:c r="D18" s="2" t="n">
        <x:f>COUNTIFS('若叶睦卡池'!$L$7:$L$99,"普通奖励",'若叶睦卡池'!$M$7:$M$99,"单人可用",'若叶睦卡池'!$N$7:$N$99,"是")</x:f>
        <x:v>7</x:v>
      </x:c>
      <x:c r="E18" s="2"/>
      <x:c r="F18" s="2"/>
      <x:c r="G18" s="2"/>
      <x:c r="H18" s="2"/>
      <x:c r="I18" s="2"/>
      <x:c r="J18" s="2"/>
      <x:c r="K18" s="2"/>
    </x:row>
    <x:row r="19" ht="25" customHeight="1">
      <x:c r="A19" s="2" t="str">
        <x:v>占单人奖励牌比例</x:v>
      </x:c>
      <x:c r="B19" s="2"/>
      <x:c r="C19" s="22" t="n">
        <x:f>C18/B18</x:f>
        <x:v>0.3375</x:v>
      </x:c>
      <x:c r="D19" s="22" t="n">
        <x:f>D18/B18</x:f>
        <x:v>0.0875</x:v>
      </x:c>
      <x:c r="E19" s="2"/>
      <x:c r="F19" s="2"/>
      <x:c r="G19" s="2"/>
      <x:c r="H19" s="2"/>
      <x:c r="I19" s="2"/>
      <x:c r="J19" s="2"/>
      <x:c r="K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0" customHeight="1">
      <x:c r="A22" s="12" t="str">
        <x:v>升级分类</x:v>
      </x:c>
      <x:c r="B22" s="12" t="str">
        <x:v>普通奖励牌数</x:v>
      </x:c>
      <x:c r="C22" s="12" t="str">
        <x:v>定义</x:v>
      </x:c>
      <x:c r="D22" s="2" t="str"/>
      <x:c r="E22" s="2"/>
      <x:c r="F22" s="12" t="str">
        <x:v>霜月主分组</x:v>
      </x:c>
      <x:c r="G22" s="12" t="str">
        <x:v>张数</x:v>
      </x:c>
      <x:c r="H22" s="2"/>
      <x:c r="I22" s="2"/>
      <x:c r="J22" s="2"/>
      <x:c r="K22" s="2"/>
    </x:row>
    <x:row r="23" ht="25" customHeight="1">
      <x:c r="A23" s="2" t="str">
        <x:v>数值</x:v>
      </x:c>
      <x:c r="B23" s="2" t="n">
        <x:f>COUNTIFS('若叶睦卡池'!$L$7:$L$99,"普通奖励",'若叶睦卡池'!$K$7:$K$99,A23)</x:f>
        <x:v>47</x:v>
      </x:c>
      <x:c r="C23" s="24" t="str">
        <x:v>只调整数量、倍率、次数或持续</x:v>
      </x:c>
      <x:c r="D23" s="2"/>
      <x:c r="E23" s="2"/>
      <x:c r="F23" s="2" t="str">
        <x:v>Frost</x:v>
      </x:c>
      <x:c r="G23" s="2" t="n">
        <x:f>COUNTIFS('15张原型'!$C$7:$C$21,F23)</x:f>
        <x:v>5</x:v>
      </x:c>
      <x:c r="H23" s="2"/>
      <x:c r="I23" s="2"/>
      <x:c r="J23" s="2"/>
      <x:c r="K23" s="2"/>
    </x:row>
    <x:row r="24" ht="25" customHeight="1">
      <x:c r="A24" s="2" t="str">
        <x:v>费用</x:v>
      </x:c>
      <x:c r="B24" s="2" t="n">
        <x:f>COUNTIFS('若叶睦卡池'!$L$7:$L$99,"普通奖励",'若叶睦卡池'!$K$7:$K$99,A24)</x:f>
        <x:v>15</x:v>
      </x:c>
      <x:c r="C24" s="24" t="str">
        <x:v>只改变能量费用</x:v>
      </x:c>
      <x:c r="D24" s="2"/>
      <x:c r="E24" s="2"/>
      <x:c r="F24" s="2" t="str">
        <x:v>Moon</x:v>
      </x:c>
      <x:c r="G24" s="2" t="n">
        <x:f>COUNTIFS('15张原型'!$C$7:$C$21,F24)</x:f>
        <x:v>5</x:v>
      </x:c>
      <x:c r="H24" s="2"/>
      <x:c r="I24" s="2"/>
      <x:c r="J24" s="2"/>
      <x:c r="K24" s="2"/>
    </x:row>
    <x:row r="25" ht="25" customHeight="1">
      <x:c r="A25" s="2" t="str">
        <x:v>功能</x:v>
      </x:c>
      <x:c r="B25" s="2" t="n">
        <x:f>COUNTIFS('若叶睦卡池'!$L$7:$L$99,"普通奖励",'若叶睦卡池'!$K$7:$K$99,A25)</x:f>
        <x:v>14</x:v>
      </x:c>
      <x:c r="C25" s="24" t="str">
        <x:v>关键词、生成规则或新增效果</x:v>
      </x:c>
      <x:c r="D25" s="2"/>
      <x:c r="E25" s="2"/>
      <x:c r="F25" s="2" t="str">
        <x:v>Bridge</x:v>
      </x:c>
      <x:c r="G25" s="2" t="n">
        <x:f>COUNTIFS('15张原型'!$C$7:$C$21,F25)</x:f>
        <x:v>3</x:v>
      </x:c>
      <x:c r="H25" s="2"/>
      <x:c r="I25" s="2"/>
      <x:c r="J25" s="2"/>
      <x:c r="K25" s="2"/>
    </x:row>
    <x:row r="26" ht="25" customHeight="1">
      <x:c r="A26" s="2" t="str">
        <x:v>混合</x:v>
      </x:c>
      <x:c r="B26" s="2" t="n">
        <x:f>COUNTIFS('若叶睦卡池'!$L$7:$L$99,"普通奖励",'若叶睦卡池'!$K$7:$K$99,A26)</x:f>
        <x:v>9</x:v>
      </x:c>
      <x:c r="C26" s="24" t="str">
        <x:v>数值与功能同时变化</x:v>
      </x:c>
      <x:c r="D26" s="2"/>
      <x:c r="E26" s="2"/>
      <x:c r="F26" s="2" t="str">
        <x:v>Utility</x:v>
      </x:c>
      <x:c r="G26" s="2" t="n">
        <x:f>COUNTIFS('15张原型'!$C$7:$C$21,F26)</x:f>
        <x:v>2</x:v>
      </x:c>
      <x:c r="H26" s="2"/>
      <x:c r="I26" s="2"/>
      <x:c r="J26" s="2"/>
      <x:c r="K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5" customHeight="1">
      <x:c r="A29" s="17" t="str">
        <x:v>设计结论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5" customHeight="1">
      <x:c r="A30" s="2" t="str">
        <x:v>Common已有7张桥梁，让基础牌参与资源循环。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5" customHeight="1">
      <x:c r="A31" s="2" t="str">
        <x:v>Uncommon有11张构筑支点，Rare有10张；构筑支点不应只放在稀有牌。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5" customHeight="1">
      <x:c r="A32" s="2" t="str">
        <x:v>31张奖励牌被标为Bridge，7张为纯Utility。标签是可讨论的设计判断。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5" customHeight="1">
      <x:c r="A33" s="2" t="str">
        <x:v>霜月先测跨回合混合循环：超然加速标记，退出后月蚀返霜。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5" customHeight="1">
      <x:c r="A34" s="2" t="str">
        <x:v>待验证：2次回合结束的窗口、HP支出、提前引爆、留霜是否值得。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5" customHeight="1">
      <x:c r="A35" s="2" t="str">
        <x:v>研究边界：已核查源码与算术，未运行Mod、未模拟战斗、未验证胜率。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5" customHeight="1">
      <x:c r="A37" s="2" t="str">
        <x:v>全文报告：frostmoon/研究结论.md；实现与测试规格：frostmoon/原型规则.md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334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.559999942779541" hidden="0" customWidth="1"/>
    <x:col min="2" max="2" width="14.4399995803833" hidden="0" customWidth="1"/>
    <x:col min="3" max="3" width="11.109999656677246" hidden="0" customWidth="1"/>
    <x:col min="4" max="4" width="6.670000076293945" hidden="0" customWidth="1"/>
    <x:col min="5" max="5" width="9.4399995803833" hidden="0" customWidth="1"/>
    <x:col min="6" max="6" width="11.109999656677246" hidden="0" customWidth="1"/>
    <x:col min="7" max="7" width="13.329999923706055" hidden="0" customWidth="1"/>
    <x:col min="8" max="8" width="56.66999816894531" hidden="0" customWidth="1"/>
    <x:col min="9" max="9" width="27.780000686645508" hidden="0" customWidth="1"/>
    <x:col min="10" max="10" width="26.110000610351562" hidden="0" customWidth="1"/>
    <x:col min="11" max="11" width="22.219999313354492" hidden="0" customWidth="1"/>
    <x:col min="12" max="12" width="48.3300018310546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霜月15张原型牌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5" t="str">
        <x:v>v0.1设计提案。数字为起测参数，尚无游玩结论；文字使用基准参数快照。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t="str">
        <x:v>Frost 5 / Moon 5 / Bridge 3 / Utility 2。共同规则与事件时序见原型规则.md。</x:v>
      </x:c>
    </x:row>
    <x:row r="6" ht="30" customHeight="1">
      <x:c r="A6" s="12" t="str">
        <x:v>ID</x:v>
      </x:c>
      <x:c r="B6" s="12" t="str">
        <x:v>卡名</x:v>
      </x:c>
      <x:c r="C6" s="12" t="str">
        <x:v>分组</x:v>
      </x:c>
      <x:c r="D6" s="12" t="str">
        <x:v>费用</x:v>
      </x:c>
      <x:c r="E6" s="12" t="str">
        <x:v>类型</x:v>
      </x:c>
      <x:c r="F6" s="12" t="str">
        <x:v>稀有度</x:v>
      </x:c>
      <x:c r="G6" s="12" t="str">
        <x:v>目标</x:v>
      </x:c>
      <x:c r="H6" s="12" t="str">
        <x:v>基础效果</x:v>
      </x:c>
      <x:c r="I6" s="12" t="str">
        <x:v>升级变化</x:v>
      </x:c>
      <x:c r="J6" s="12" t="str">
        <x:v>设计职责</x:v>
      </x:c>
      <x:c r="K6" s="12" t="str">
        <x:v>适用构筑</x:v>
      </x:c>
      <x:c r="L6" s="12" t="str">
        <x:v>首轮要观察什么</x:v>
      </x:c>
    </x:row>
    <x:row r="7" ht="48" customHeight="1">
      <x:c r="A7" s="8" t="str">
        <x:v>F01</x:v>
      </x:c>
      <x:c r="B7" s="8" t="str">
        <x:v>寒月斩</x:v>
      </x:c>
      <x:c r="C7" s="8" t="str">
        <x:v>Frost</x:v>
      </x:c>
      <x:c r="D7" s="8" t="n">
        <x:v>1</x:v>
      </x:c>
      <x:c r="E7" s="8" t="str">
        <x:v>Attack</x:v>
      </x:c>
      <x:c r="F7" s="8" t="str">
        <x:v>Common</x:v>
      </x:c>
      <x:c r="G7" s="8" t="str">
        <x:v>单个敌人</x:v>
      </x:c>
      <x:c r="H7" s="8" t="str">
        <x:v>普通：失去2 HP，获得2霜蚀，造成9伤害。超然：造成9伤害2次。</x:v>
      </x:c>
      <x:c r="I7" s="8" t="str">
        <x:v>两种形态每击伤害9→12。</x:v>
      </x:c>
      <x:c r="J7" s="8" t="str">
        <x:v>Generator / Consumer / Payoff</x:v>
      </x:c>
      <x:c r="K7" s="8" t="str">
        <x:v>冰爆、混合、控霜</x:v>
      </x:c>
      <x:c r="L7" s="8" t="str">
        <x:v>同一张牌不因自身刚触发超然而改走第二个分支；处于超然时不再自损。</x:v>
      </x:c>
    </x:row>
    <x:row r="8" ht="48" customHeight="1">
      <x:c r="A8" s="13" t="str">
        <x:v>F02</x:v>
      </x:c>
      <x:c r="B8" s="13" t="str">
        <x:v>凝霜</x:v>
      </x:c>
      <x:c r="C8" s="13" t="str">
        <x:v>Frost</x:v>
      </x:c>
      <x:c r="D8" s="13" t="n">
        <x:v>0</x:v>
      </x:c>
      <x:c r="E8" s="13" t="str">
        <x:v>Skill</x:v>
      </x:c>
      <x:c r="F8" s="13" t="str">
        <x:v>Uncommon</x:v>
      </x:c>
      <x:c r="G8" s="13" t="str">
        <x:v>自身</x:v>
      </x:c>
      <x:c r="H8" s="13" t="str">
        <x:v>本回合下一次成功获得正数霜蚀时，获得量翻倍。不叠加。</x:v>
      </x:c>
      <x:c r="I8" s="13" t="str">
        <x:v>增加保留。</x:v>
      </x:c>
      <x:c r="J8" s="13" t="str">
        <x:v>Enabler</x:v>
      </x:c>
      <x:c r="K8" s="13" t="str">
        <x:v>冰爆、混合、控霜</x:v>
      </x:c>
      <x:c r="L8" s="13" t="str">
        <x:v>普通5霜时翻倍会大量溢出；超然期间失败的产霜不消耗此效果，但回合结束照常失效。</x:v>
      </x:c>
    </x:row>
    <x:row r="9" ht="48" customHeight="1">
      <x:c r="A9" s="8" t="str">
        <x:v>F03</x:v>
      </x:c>
      <x:c r="B9" s="8" t="str">
        <x:v>止水</x:v>
      </x:c>
      <x:c r="C9" s="8" t="str">
        <x:v>Frost</x:v>
      </x:c>
      <x:c r="D9" s="8" t="n">
        <x:v>1</x:v>
      </x:c>
      <x:c r="E9" s="8" t="str">
        <x:v>Skill</x:v>
      </x:c>
      <x:c r="F9" s="8" t="str">
        <x:v>Common</x:v>
      </x:c>
      <x:c r="G9" s="8" t="str">
        <x:v>自身</x:v>
      </x:c>
      <x:c r="H9" s="8" t="str">
        <x:v>选择移除0至2霜蚀。获得6格挡，并为每层实际移除的霜蚀额外获得3格挡。</x:v>
      </x:c>
      <x:c r="I9" s="8" t="str">
        <x:v>基础格挡6→9。</x:v>
      </x:c>
      <x:c r="J9" s="8" t="str">
        <x:v>Consumer / Enabler / Utility</x:v>
      </x:c>
      <x:c r="K9" s="8" t="str">
        <x:v>控霜、冰爆、混合</x:v>
      </x:c>
      <x:c r="L9" s="8" t="str">
        <x:v>必须允许选择移除1层，否则2层产霜的卡池很难主动维持5层；0霜也有6格挡。</x:v>
      </x:c>
    </x:row>
    <x:row r="10" ht="48" customHeight="1">
      <x:c r="A10" s="13" t="str">
        <x:v>F04</x:v>
      </x:c>
      <x:c r="B10" s="13" t="str">
        <x:v>冻彻</x:v>
      </x:c>
      <x:c r="C10" s="13" t="str">
        <x:v>Frost</x:v>
      </x:c>
      <x:c r="D10" s="13" t="n">
        <x:v>1</x:v>
      </x:c>
      <x:c r="E10" s="13" t="str">
        <x:v>Skill</x:v>
      </x:c>
      <x:c r="F10" s="13" t="str">
        <x:v>Uncommon</x:v>
      </x:c>
      <x:c r="G10" s="13" t="str">
        <x:v>自身</x:v>
      </x:c>
      <x:c r="H10" s="13" t="str">
        <x:v>获得4格挡，额外获得等于当前霜蚀层数2倍的格挡。不消耗霜蚀。</x:v>
      </x:c>
      <x:c r="I10" s="13" t="str">
        <x:v>基础格挡4→7。</x:v>
      </x:c>
      <x:c r="J10" s="13" t="str">
        <x:v>Payoff</x:v>
      </x:c>
      <x:c r="K10" s="13" t="str">
        <x:v>控霜、冰爆、混合</x:v>
      </x:c>
      <x:c r="L10" s="13" t="str">
        <x:v>5层时为14格挡；进入超然后仅4格挡，形成留霜与变身的取舍。</x:v>
      </x:c>
    </x:row>
    <x:row r="11" ht="48" customHeight="1">
      <x:c r="A11" s="8" t="str">
        <x:v>F05</x:v>
      </x:c>
      <x:c r="B11" s="8" t="str">
        <x:v>冰河断</x:v>
      </x:c>
      <x:c r="C11" s="8" t="str">
        <x:v>Frost</x:v>
      </x:c>
      <x:c r="D11" s="8" t="n">
        <x:v>2</x:v>
      </x:c>
      <x:c r="E11" s="8" t="str">
        <x:v>Attack</x:v>
      </x:c>
      <x:c r="F11" s="8" t="str">
        <x:v>Uncommon</x:v>
      </x:c>
      <x:c r="G11" s="8" t="str">
        <x:v>单个敌人</x:v>
      </x:c>
      <x:c r="H11" s="8" t="str">
        <x:v>普通：造成18伤害。超然：造成16伤害2次。</x:v>
      </x:c>
      <x:c r="I11" s="8" t="str">
        <x:v>普通18→22；超然每击16→20。</x:v>
      </x:c>
      <x:c r="J11" s="8" t="str">
        <x:v>Consumer / Payoff</x:v>
      </x:c>
      <x:c r="K11" s="8" t="str">
        <x:v>冰爆、混合</x:v>
      </x:c>
      <x:c r="L11" s="8" t="str">
        <x:v>重点测超然手牌错位和2费竞争；不是无条件等待变身的废牌。</x:v>
      </x:c>
    </x:row>
    <x:row r="12" ht="48" customHeight="1">
      <x:c r="A12" s="13" t="str">
        <x:v>M01</x:v>
      </x:c>
      <x:c r="B12" s="13" t="str">
        <x:v>新月</x:v>
      </x:c>
      <x:c r="C12" s="13" t="str">
        <x:v>Moon</x:v>
      </x:c>
      <x:c r="D12" s="13" t="n">
        <x:v>0</x:v>
      </x:c>
      <x:c r="E12" s="13" t="str">
        <x:v>Skill</x:v>
      </x:c>
      <x:c r="F12" s="13" t="str">
        <x:v>Common</x:v>
      </x:c>
      <x:c r="G12" s="13" t="str">
        <x:v>单个敌人</x:v>
      </x:c>
      <x:c r="H12" s="13" t="str">
        <x:v>施加2月痕。消耗。</x:v>
      </x:c>
      <x:c r="I12" s="13" t="str">
        <x:v>月痕2→3。</x:v>
      </x:c>
      <x:c r="J12" s="13" t="str">
        <x:v>Generator</x:v>
      </x:c>
      <x:c r="K12" s="13" t="str">
        <x:v>月蚀、混合</x:v>
      </x:c>
      <x:c r="L12" s="13" t="str">
        <x:v>一次性微调引爆时间；升级带来奇数层数，是否反而造成溢出。</x:v>
      </x:c>
    </x:row>
    <x:row r="13" ht="48" customHeight="1">
      <x:c r="A13" s="8" t="str">
        <x:v>M02</x:v>
      </x:c>
      <x:c r="B13" s="8" t="str">
        <x:v>弦月</x:v>
      </x:c>
      <x:c r="C13" s="8" t="str">
        <x:v>Moon</x:v>
      </x:c>
      <x:c r="D13" s="8" t="n">
        <x:v>1</x:v>
      </x:c>
      <x:c r="E13" s="8" t="str">
        <x:v>Attack</x:v>
      </x:c>
      <x:c r="F13" s="8" t="str">
        <x:v>Common</x:v>
      </x:c>
      <x:c r="G13" s="8" t="str">
        <x:v>单个敌人</x:v>
      </x:c>
      <x:c r="H13" s="8" t="str">
        <x:v>造成7伤害，再施加2月痕。</x:v>
      </x:c>
      <x:c r="I13" s="8" t="str">
        <x:v>伤害7→10。</x:v>
      </x:c>
      <x:c r="J13" s="8" t="str">
        <x:v>Generator / Utility</x:v>
      </x:c>
      <x:c r="K13" s="8" t="str">
        <x:v>月蚀、混合、冰爆</x:v>
      </x:c>
      <x:c r="L13" s="8" t="str">
        <x:v>攻击杀死目标时不再施加月痕；作为普通攻击也应可用。</x:v>
      </x:c>
    </x:row>
    <x:row r="14" ht="48" customHeight="1">
      <x:c r="A14" s="13" t="str">
        <x:v>M03</x:v>
      </x:c>
      <x:c r="B14" s="13" t="str">
        <x:v>满月</x:v>
      </x:c>
      <x:c r="C14" s="13" t="str">
        <x:v>Moon</x:v>
      </x:c>
      <x:c r="D14" s="13" t="n">
        <x:v>2</x:v>
      </x:c>
      <x:c r="E14" s="13" t="str">
        <x:v>Skill</x:v>
      </x:c>
      <x:c r="F14" s="13" t="str">
        <x:v>Uncommon</x:v>
      </x:c>
      <x:c r="G14" s="13" t="str">
        <x:v>单个敌人</x:v>
      </x:c>
      <x:c r="H14" s="13" t="str">
        <x:v>施加4月痕，抽1张牌。</x:v>
      </x:c>
      <x:c r="I14" s="13" t="str">
        <x:v>抽牌1→2。</x:v>
      </x:c>
      <x:c r="J14" s="13" t="str">
        <x:v>Generator / Utility</x:v>
      </x:c>
      <x:c r="K14" s="13" t="str">
        <x:v>月蚀、混合</x:v>
      </x:c>
      <x:c r="L14" s="13" t="str">
        <x:v>2费集中投入是否输给两张弦月；对照洗牌周转和出牌机会成本。</x:v>
      </x:c>
    </x:row>
    <x:row r="15" ht="48" customHeight="1">
      <x:c r="A15" s="8" t="str">
        <x:v>M04</x:v>
      </x:c>
      <x:c r="B15" s="8" t="str">
        <x:v>月落</x:v>
      </x:c>
      <x:c r="C15" s="8" t="str">
        <x:v>Moon</x:v>
      </x:c>
      <x:c r="D15" s="8" t="n">
        <x:v>1</x:v>
      </x:c>
      <x:c r="E15" s="8" t="str">
        <x:v>Skill</x:v>
      </x:c>
      <x:c r="F15" s="8" t="str">
        <x:v>Uncommon</x:v>
      </x:c>
      <x:c r="G15" s="8" t="str">
        <x:v>单个敌人</x:v>
      </x:c>
      <x:c r="H15" s="8" t="str">
        <x:v>若目标至少有6月痕，清空其月痕并触发1次月蚀；否则施加2月痕。</x:v>
      </x:c>
      <x:c r="I15" s="8" t="str">
        <x:v>费用1→0。</x:v>
      </x:c>
      <x:c r="J15" s="8" t="str">
        <x:v>Consumer / Enabler / Payoff</x:v>
      </x:c>
      <x:c r="K15" s="8" t="str">
        <x:v>月蚀、混合</x:v>
      </x:c>
      <x:c r="L15" s="8" t="str">
        <x:v>引爆线随月痕阈值变化，始终低2层；条件不满足仍有铺垫作用。</x:v>
      </x:c>
    </x:row>
    <x:row r="16" ht="48" customHeight="1">
      <x:c r="A16" s="13" t="str">
        <x:v>M05</x:v>
      </x:c>
      <x:c r="B16" s="13" t="str">
        <x:v>潮汐</x:v>
      </x:c>
      <x:c r="C16" s="13" t="str">
        <x:v>Moon</x:v>
      </x:c>
      <x:c r="D16" s="13" t="n">
        <x:v>1</x:v>
      </x:c>
      <x:c r="E16" s="13" t="str">
        <x:v>Power</x:v>
      </x:c>
      <x:c r="F16" s="13" t="str">
        <x:v>Uncommon</x:v>
      </x:c>
      <x:c r="G16" s="13" t="str">
        <x:v>自身</x:v>
      </x:c>
      <x:c r="H16" s="13" t="str">
        <x:v>本场战斗，月蚀每结算一击，获得1格挡。</x:v>
      </x:c>
      <x:c r="I16" s="13" t="str">
        <x:v>每击格挡1→2。</x:v>
      </x:c>
      <x:c r="J16" s="13" t="str">
        <x:v>Payoff / Build-around</x:v>
      </x:c>
      <x:c r="K16" s="13" t="str">
        <x:v>月蚀、混合</x:v>
      </x:c>
      <x:c r="L16" s="13" t="str">
        <x:v>完全被格挡的一击也算；击杀后取消的后续段不算；每份能力线性叠加。</x:v>
      </x:c>
    </x:row>
    <x:row r="17" ht="48" customHeight="1">
      <x:c r="A17" s="8" t="str">
        <x:v>B01</x:v>
      </x:c>
      <x:c r="B17" s="8" t="str">
        <x:v>镜月</x:v>
      </x:c>
      <x:c r="C17" s="8" t="str">
        <x:v>Bridge</x:v>
      </x:c>
      <x:c r="D17" s="8" t="n">
        <x:v>1</x:v>
      </x:c>
      <x:c r="E17" s="8" t="str">
        <x:v>Skill</x:v>
      </x:c>
      <x:c r="F17" s="8" t="str">
        <x:v>Common</x:v>
      </x:c>
      <x:c r="G17" s="8" t="str">
        <x:v>单个敌人</x:v>
      </x:c>
      <x:c r="H17" s="8" t="str">
        <x:v>普通：失去2 HP，获得2霜蚀，施加2月痕，获得4格挡。超然：施加3月痕，获得4格挡。</x:v>
      </x:c>
      <x:c r="I17" s="8" t="str">
        <x:v>两种形态格挡4→7。</x:v>
      </x:c>
      <x:c r="J17" s="8" t="str">
        <x:v>Generator / Bridge / Utility</x:v>
      </x:c>
      <x:c r="K17" s="8" t="str">
        <x:v>冰爆、月蚀、混合、控霜</x:v>
      </x:c>
      <x:c r="L17" s="8" t="str">
        <x:v>纯月构筑是否愿意承担自损；基础桥梁无需先获得能力牌。</x:v>
      </x:c>
    </x:row>
    <x:row r="18" ht="48" customHeight="1">
      <x:c r="A18" s="13" t="str">
        <x:v>B02</x:v>
      </x:c>
      <x:c r="B18" s="13" t="str">
        <x:v>月下霜</x:v>
      </x:c>
      <x:c r="C18" s="13" t="str">
        <x:v>Bridge</x:v>
      </x:c>
      <x:c r="D18" s="13" t="n">
        <x:v>1</x:v>
      </x:c>
      <x:c r="E18" s="13" t="str">
        <x:v>Power</x:v>
      </x:c>
      <x:c r="F18" s="13" t="str">
        <x:v>Uncommon</x:v>
      </x:c>
      <x:c r="G18" s="13" t="str">
        <x:v>自身</x:v>
      </x:c>
      <x:c r="H18" s="13" t="str">
        <x:v>本场战斗，若一张攻击牌打出时已处于超然，该牌全部效果结束后，向仍存活的主目标施加1月痕。每张攻击牌结算一次。</x:v>
      </x:c>
      <x:c r="I18" s="13" t="str">
        <x:v>月痕1→2。</x:v>
      </x:c>
      <x:c r="J18" s="13" t="str">
        <x:v>Generator / Enabler / Bridge / Build-around</x:v>
      </x:c>
      <x:c r="K18" s="13" t="str">
        <x:v>冰爆、月蚀、混合</x:v>
      </x:c>
      <x:c r="L18" s="13" t="str">
        <x:v>按牌而非按击；月蚀不会触发本能力。多份能力合计后每张施加一次。</x:v>
      </x:c>
    </x:row>
    <x:row r="19" ht="48" customHeight="1">
      <x:c r="A19" s="8" t="str">
        <x:v>B03</x:v>
      </x:c>
      <x:c r="B19" s="8" t="str">
        <x:v>寒月</x:v>
      </x:c>
      <x:c r="C19" s="8" t="str">
        <x:v>Bridge</x:v>
      </x:c>
      <x:c r="D19" s="8" t="n">
        <x:v>2</x:v>
      </x:c>
      <x:c r="E19" s="8" t="str">
        <x:v>Attack</x:v>
      </x:c>
      <x:c r="F19" s="8" t="str">
        <x:v>Uncommon</x:v>
      </x:c>
      <x:c r="G19" s="8" t="str">
        <x:v>单个敌人</x:v>
      </x:c>
      <x:c r="H19" s="8" t="str">
        <x:v>造成14伤害，施加2月痕。若这次施加月痕触发了月蚀：普通时获得2霜蚀；超然时抽1张牌。</x:v>
      </x:c>
      <x:c r="I19" s="8" t="str">
        <x:v>伤害14→18。</x:v>
      </x:c>
      <x:c r="J19" s="8" t="str">
        <x:v>Generator / Payoff / Bridge</x:v>
      </x:c>
      <x:c r="K19" s="8" t="str">
        <x:v>月蚀、混合、冰爆、控霜</x:v>
      </x:c>
      <x:c r="L19" s="8" t="str">
        <x:v>只认可本牌直接施加月痕触发的月蚀，不包含月下霜；返霜不自损，须监测循环加速。</x:v>
      </x:c>
    </x:row>
    <x:row r="20" ht="48" customHeight="1">
      <x:c r="A20" s="13" t="str">
        <x:v>U01</x:v>
      </x:c>
      <x:c r="B20" s="13" t="str">
        <x:v>整息</x:v>
      </x:c>
      <x:c r="C20" s="13" t="str">
        <x:v>Utility</x:v>
      </x:c>
      <x:c r="D20" s="13" t="n">
        <x:v>1</x:v>
      </x:c>
      <x:c r="E20" s="13" t="str">
        <x:v>Skill</x:v>
      </x:c>
      <x:c r="F20" s="13" t="str">
        <x:v>Common</x:v>
      </x:c>
      <x:c r="G20" s="13" t="str">
        <x:v>自身</x:v>
      </x:c>
      <x:c r="H20" s="13" t="str">
        <x:v>抽2张牌。</x:v>
      </x:c>
      <x:c r="I20" s="13" t="str">
        <x:v>抽牌2→3。</x:v>
      </x:c>
      <x:c r="J20" s="13" t="str">
        <x:v>Utility</x:v>
      </x:c>
      <x:c r="K20" s="13" t="str">
        <x:v>冰爆、月蚀、混合、控霜</x:v>
      </x:c>
      <x:c r="L20" s="13" t="str">
        <x:v>统一过牌基线，用于区分机制问题与摸不到关键牌。</x:v>
      </x:c>
    </x:row>
    <x:row r="21" ht="48" customHeight="1">
      <x:c r="A21" s="8" t="str">
        <x:v>U02</x:v>
      </x:c>
      <x:c r="B21" s="8" t="str">
        <x:v>守夜</x:v>
      </x:c>
      <x:c r="C21" s="8" t="str">
        <x:v>Utility</x:v>
      </x:c>
      <x:c r="D21" s="8" t="n">
        <x:v>1</x:v>
      </x:c>
      <x:c r="E21" s="8" t="str">
        <x:v>Skill</x:v>
      </x:c>
      <x:c r="F21" s="8" t="str">
        <x:v>Common</x:v>
      </x:c>
      <x:c r="G21" s="8" t="str">
        <x:v>自身</x:v>
      </x:c>
      <x:c r="H21" s="8" t="str">
        <x:v>获得8格挡，抽1张牌。</x:v>
      </x:c>
      <x:c r="I21" s="8" t="str">
        <x:v>格挡8→11。</x:v>
      </x:c>
      <x:c r="J21" s="8" t="str">
        <x:v>Utility</x:v>
      </x:c>
      <x:c r="K21" s="8" t="str">
        <x:v>冰爆、月蚀、混合、控霜</x:v>
      </x:c>
      <x:c r="L21" s="8" t="str">
        <x:v>无自损、无资源门槛的防御基线，帮助测量专属机制的真实成本。</x:v>
      </x:c>
    </x:row>
  </x:sheetData>
  <x:pageMargins left="0.7" right="0.7" top="0.75" bottom="0.75" header="0.3" footer="0.3"/>
  <x:tableParts count="1">
    <x:tablePart xmlns:r="http://schemas.openxmlformats.org/officeDocument/2006/relationships" r:id="Ra1f79ee4ac13489f"/>
  </x:tableParts>
</x:worksheet>
</file>

<file path=xl/worksheets/sheet3.xml><?xml version="1.0" encoding="utf-8"?>
<x:worksheet xmlns:x="http://schemas.openxmlformats.org/spreadsheetml/2006/main">
  <x:sheetPr>
    <x:tabColor rgb="FFAA93C3"/>
  </x:sheetPr>
  <x:sheetViews>
    <x:sheetView showGridLines="0" workbookViewId="0"/>
  </x:sheetViews>
  <x:sheetFormatPr defaultRowHeight="15"/>
  <x:cols>
    <x:col min="1" max="1" width="25.559999465942383" hidden="0" customWidth="1"/>
    <x:col min="2" max="2" width="19.440000534057617" hidden="0" customWidth="1"/>
    <x:col min="3" max="3" width="12.220000267028809" hidden="0" customWidth="1"/>
    <x:col min="4" max="4" width="33.33000183105469" hidden="0" customWidth="1"/>
    <x:col min="5" max="5" width="65.55999755859375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霜月参数试验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5" t="str">
        <x:v>黄色格可修改。公式只计算局部算术，不模拟战斗，也不自动改写原型卡牌文字。</x:v>
      </x:c>
      <x:c r="B4" s="2"/>
      <x:c r="C4" s="2"/>
      <x:c r="D4" s="2"/>
      <x:c r="E4" s="2"/>
    </x:row>
    <x:row r="6" ht="30" customHeight="1">
      <x:c r="A6" s="12" t="str">
        <x:v>参数</x:v>
      </x:c>
      <x:c r="B6" s="12" t="str">
        <x:v>单位</x:v>
      </x:c>
      <x:c r="C6" s="12" t="str">
        <x:v>当前起测值</x:v>
      </x:c>
      <x:c r="D6" s="12" t="str">
        <x:v>建议对照</x:v>
      </x:c>
      <x:c r="E6" s="12" t="str">
        <x:v>观察目的</x:v>
      </x:c>
    </x:row>
    <x:row r="7" ht="48" customHeight="1">
      <x:c r="A7" s="8" t="str">
        <x:v>霜蚀阈值</x:v>
      </x:c>
      <x:c r="B7" s="8" t="str">
        <x:v>层</x:v>
      </x:c>
      <x:c r="C7" s="16" t="n">
        <x:v>6</x:v>
      </x:c>
      <x:c r="D7" s="8" t="str">
        <x:v>5 / 6 / 7</x:v>
      </x:c>
      <x:c r="E7" s="8" t="str">
        <x:v>2霜/次时需要3次；奇数阈值可测试溢出损耗和控霜空间。</x:v>
      </x:c>
    </x:row>
    <x:row r="8" ht="48" customHeight="1">
      <x:c r="A8" s="13" t="str">
        <x:v>超然持续</x:v>
      </x:c>
      <x:c r="B8" s="13" t="str">
        <x:v>自身回合结束次数</x:v>
      </x:c>
      <x:c r="C8" s="16" t="n">
        <x:v>2</x:v>
      </x:c>
      <x:c r="D8" s="13" t="str">
        <x:v>1 / 2</x:v>
      </x:c>
      <x:c r="E8" s="13" t="str">
        <x:v>含触发当回合；第2次自身回合结束时退出。</x:v>
      </x:c>
    </x:row>
    <x:row r="9" ht="48" customHeight="1">
      <x:c r="A9" s="8" t="str">
        <x:v>进入超然抽牌</x:v>
      </x:c>
      <x:c r="B9" s="8" t="str">
        <x:v>张</x:v>
      </x:c>
      <x:c r="C9" s="16" t="n">
        <x:v>1</x:v>
      </x:c>
      <x:c r="D9" s="8" t="str">
        <x:v>0 / 1</x:v>
      </x:c>
      <x:c r="E9" s="8" t="str">
        <x:v>缓解临近耗尽手牌时触发的落空感；没有全局伤害倍率。</x:v>
      </x:c>
    </x:row>
    <x:row r="10" ht="48" customHeight="1">
      <x:c r="A10" s="13" t="str">
        <x:v>月痕阈值</x:v>
      </x:c>
      <x:c r="B10" s="13" t="str">
        <x:v>层/敌人</x:v>
      </x:c>
      <x:c r="C10" s="16" t="n">
        <x:v>8</x:v>
      </x:c>
      <x:c r="D10" s="13" t="str">
        <x:v>6 / 8 / 10</x:v>
      </x:c>
      <x:c r="E10" s="13" t="str">
        <x:v>逐个敌人积累，过阈清空全部，不保留溢出。</x:v>
      </x:c>
    </x:row>
    <x:row r="11" ht="48" customHeight="1">
      <x:c r="A11" s="8" t="str">
        <x:v>月蚀每击基础伤害</x:v>
      </x:c>
      <x:c r="B11" s="8" t="str">
        <x:v>伤害/击</x:v>
      </x:c>
      <x:c r="C11" s="16" t="n">
        <x:v>4</x:v>
      </x:c>
      <x:c r="D11" s="8" t="str">
        <x:v>3 / 4 / 5</x:v>
      </x:c>
      <x:c r="E11" s="8" t="str">
        <x:v>只调整每击数值时保持段数固定。</x:v>
      </x:c>
    </x:row>
    <x:row r="12" ht="48" customHeight="1">
      <x:c r="A12" s="13" t="str">
        <x:v>月蚀击数</x:v>
      </x:c>
      <x:c r="B12" s="13" t="str">
        <x:v>击/次</x:v>
      </x:c>
      <x:c r="C12" s="16" t="n">
        <x:v>4</x:v>
      </x:c>
      <x:c r="D12" s="13" t="str">
        <x:v>3 / 4 / 5</x:v>
      </x:c>
      <x:c r="E12" s="13" t="str">
        <x:v>另做总伤害相同的2×8与4×4对照，隔离击数价值。</x:v>
      </x:c>
    </x:row>
    <x:row r="13" ht="48" customHeight="1">
      <x:c r="A13" s="8" t="str">
        <x:v>一次基础自损</x:v>
      </x:c>
      <x:c r="B13" s="8" t="str">
        <x:v>HP</x:v>
      </x:c>
      <x:c r="C13" s="16" t="n">
        <x:v>2</x:v>
      </x:c>
      <x:c r="D13" s="8" t="str">
        <x:v>1 / 2 / 3</x:v>
      </x:c>
      <x:c r="E13" s="8" t="str">
        <x:v>与下一行联合看基础兑换；不自动把其他HP损失换成霜蚀。</x:v>
      </x:c>
    </x:row>
    <x:row r="14" ht="48" customHeight="1">
      <x:c r="A14" s="13" t="str">
        <x:v>一次基础产霜</x:v>
      </x:c>
      <x:c r="B14" s="13" t="str">
        <x:v>层</x:v>
      </x:c>
      <x:c r="C14" s="16" t="n">
        <x:v>2</x:v>
      </x:c>
      <x:c r="D14" s="13" t="str">
        <x:v>固定2，再单独测试3</x:v>
      </x:c>
      <x:c r="E14" s="13" t="str">
        <x:v>种子为2HP换2霜；凝霜与寒月可提高效率，须计入日志。</x:v>
      </x:c>
    </x:row>
    <x:row r="15" ht="48" customHeight="1">
      <x:c r="A15" s="8" t="str">
        <x:v>提前引爆距阈值差</x:v>
      </x:c>
      <x:c r="B15" s="8" t="str">
        <x:v>层</x:v>
      </x:c>
      <x:c r="C15" s="16" t="n">
        <x:v>2</x:v>
      </x:c>
      <x:c r="D15" s="8" t="str">
        <x:v>1 / 2</x:v>
      </x:c>
      <x:c r="E15" s="8" t="str">
        <x:v>月落引爆线=月痕阈值-此差值；种子为6。</x:v>
      </x:c>
    </x:row>
    <x:row r="16" ht="48" customHeight="1">
      <x:c r="A16" s="13" t="str">
        <x:v>测试最大生命</x:v>
      </x:c>
      <x:c r="B16" s="13" t="str">
        <x:v>HP</x:v>
      </x:c>
      <x:c r="C16" s="16" t="n">
        <x:v>70</x:v>
      </x:c>
      <x:c r="D16" s="13" t="str">
        <x:v>固定70</x:v>
      </x:c>
      <x:c r="E16" s="13" t="str">
        <x:v>仅为控制变量的测试角色规格。</x:v>
      </x:c>
    </x:row>
    <x:row r="17" ht="48" customHeight="1">
      <x:c r="A17" s="8" t="str">
        <x:v>测试每回合能量</x:v>
      </x:c>
      <x:c r="B17" s="8" t="str">
        <x:v>能量</x:v>
      </x:c>
      <x:c r="C17" s="16" t="n">
        <x:v>3</x:v>
      </x:c>
      <x:c r="D17" s="8" t="str">
        <x:v>固定3</x:v>
      </x:c>
      <x:c r="E17" s="8" t="str">
        <x:v>首轮不放能量返还牌，优先观察两种资源。</x:v>
      </x:c>
    </x:row>
    <x:row r="18" ht="48" customHeight="1">
      <x:c r="A18" s="13" t="str">
        <x:v>测试每回合抽牌</x:v>
      </x:c>
      <x:c r="B18" s="13" t="str">
        <x:v>张</x:v>
      </x:c>
      <x:c r="C18" s="16" t="n">
        <x:v>5</x:v>
      </x:c>
      <x:c r="D18" s="13" t="str">
        <x:v>固定5</x:v>
      </x:c>
      <x:c r="E18" s="13" t="str">
        <x:v>手牌上限10，正常弃牌重洗；测试牌表另列。</x:v>
      </x:c>
    </x:row>
    <x:row r="21" ht="25" customHeight="1">
      <x:c r="A21" s="17" t="str">
        <x:v>局部算术检查</x:v>
      </x:c>
      <x:c r="B21" s="2"/>
      <x:c r="C21" s="2"/>
      <x:c r="D21" s="2"/>
      <x:c r="E21" s="2"/>
    </x:row>
    <x:row r="22" ht="30" customHeight="1">
      <x:c r="A22" s="12" t="str">
        <x:v>指标</x:v>
      </x:c>
      <x:c r="B22" s="12" t="str">
        <x:v>说明</x:v>
      </x:c>
      <x:c r="C22" s="12" t="str">
        <x:v>计算结果</x:v>
      </x:c>
      <x:c r="D22" s="2"/>
      <x:c r="E22" s="2"/>
    </x:row>
    <x:row r="23" ht="52" customHeight="1">
      <x:c r="A23" s="6" t="str">
        <x:v>完整月蚀基础伤害</x:v>
      </x:c>
      <x:c r="B23" s="6" t="str">
        <x:v>未考虑格挡、死亡取消与其他修正</x:v>
      </x:c>
      <x:c r="C23" s="19" t="n">
        <x:f>C11*C12</x:f>
        <x:v>16</x:v>
      </x:c>
      <x:c r="D23" s="2"/>
      <x:c r="E23" s="2"/>
    </x:row>
    <x:row r="24" ht="52" customHeight="1">
      <x:c r="A24" s="6" t="str">
        <x:v>每层月痕对应基础伤害</x:v>
      </x:c>
      <x:c r="B24" s="6" t="str">
        <x:v>无溢出且足额引爆的理论值，非效率实测</x:v>
      </x:c>
      <x:c r="C24" s="18" t="n">
        <x:f>IF(C10&gt;0,C23/C10,"阈值须大于0")</x:f>
        <x:v>2</x:v>
      </x:c>
      <x:c r="D24" s="2"/>
      <x:c r="E24" s="2"/>
    </x:row>
    <x:row r="25" ht="52" customHeight="1">
      <x:c r="A25" s="6" t="str">
        <x:v>单次基础支付的霜蚀兑换率</x:v>
      </x:c>
      <x:c r="B25" s="6" t="str">
        <x:v>单位：霜蚀/HP；不含凝霜与寒月返霜</x:v>
      </x:c>
      <x:c r="C25" s="18" t="n">
        <x:f>IF(C13&gt;0,C14/C13,"自损须大于0")</x:f>
        <x:v>1</x:v>
      </x:c>
      <x:c r="D25" s="2"/>
      <x:c r="E25" s="2"/>
    </x:row>
    <x:row r="26" ht="52" customHeight="1">
      <x:c r="A26" s="6" t="str">
        <x:v>单靠基础支付的触发次数</x:v>
      </x:c>
      <x:c r="B26" s="6" t="str">
        <x:v>从0霜起，包含最后一次的溢出</x:v>
      </x:c>
      <x:c r="C26" s="19" t="n">
        <x:f>IF(AND(C14&gt;0,C7&gt;0),ROUNDUP(C7/C14,0),"阈值与产霜须大于0")</x:f>
        <x:v>3</x:v>
      </x:c>
      <x:c r="D26" s="2"/>
      <x:c r="E26" s="2"/>
    </x:row>
    <x:row r="27" ht="52" customHeight="1">
      <x:c r="A27" s="6" t="str">
        <x:v>单靠基础支付的总HP成本</x:v>
      </x:c>
      <x:c r="B27" s="6" t="str">
        <x:v>未计入治疗和其他来源，不是整场战斗损耗</x:v>
      </x:c>
      <x:c r="C27" s="19" t="n">
        <x:f>IF(ISNUMBER(C26),C26*C13,"产霜须大于0")</x:f>
        <x:v>6</x:v>
      </x:c>
      <x:c r="D27" s="2"/>
      <x:c r="E27" s="2"/>
    </x:row>
    <x:row r="28" ht="52" customHeight="1">
      <x:c r="A28" s="6" t="str">
        <x:v>月落提前引爆线</x:v>
      </x:c>
      <x:c r="B28" s="6" t="str">
        <x:v>需大于0且小于月痕阈值</x:v>
      </x:c>
      <x:c r="C28" s="19" t="n">
        <x:f>IF(AND(C10&gt;C15,C15&gt;0),C10-C15,"提前量需介于0与阈值")</x:f>
        <x:v>6</x:v>
      </x:c>
      <x:c r="D28" s="2"/>
      <x:c r="E28" s="2"/>
    </x:row>
    <x:row r="29" ht="25" customHeight="1">
      <x:c r="A29" s="2"/>
      <x:c r="B29" s="2"/>
      <x:c r="C29" s="19"/>
      <x:c r="D29" s="2"/>
      <x:c r="E29" s="2"/>
    </x:row>
    <x:row r="30" ht="25" customHeight="1">
      <x:c r="A30" s="2"/>
      <x:c r="B30" s="2"/>
      <x:c r="C30" s="2"/>
      <x:c r="D30" s="2"/>
      <x:c r="E30" s="2"/>
    </x:row>
    <x:row r="31" ht="25" customHeight="1">
      <x:c r="A31" s="2"/>
      <x:c r="B31" s="2"/>
      <x:c r="C31" s="2"/>
      <x:c r="D31" s="2"/>
      <x:c r="E31" s="2"/>
    </x:row>
    <x:row r="32" ht="30" customHeight="1">
      <x:c r="A32" s="12" t="str">
        <x:v>等总伤害的击数对照</x:v>
      </x:c>
      <x:c r="B32" s="12" t="str">
        <x:v>每击伤害</x:v>
      </x:c>
      <x:c r="C32" s="12" t="str">
        <x:v>击数</x:v>
      </x:c>
      <x:c r="D32" s="12" t="str">
        <x:v>总基础伤害</x:v>
      </x:c>
      <x:c r="E32" s="12" t="str">
        <x:v>基础潮汐格挡</x:v>
      </x:c>
    </x:row>
    <x:row r="33" ht="25" customHeight="1">
      <x:c r="A33" s="2" t="str">
        <x:v>v0.1基准</x:v>
      </x:c>
      <x:c r="B33" s="2" t="n">
        <x:v>4</x:v>
      </x:c>
      <x:c r="C33" s="2" t="n">
        <x:v>4</x:v>
      </x:c>
      <x:c r="D33" s="2" t="n">
        <x:f>B33*C33</x:f>
        <x:v>16</x:v>
      </x:c>
      <x:c r="E33" s="2" t="n">
        <x:f>C33</x:f>
        <x:v>4</x:v>
      </x:c>
    </x:row>
    <x:row r="34" ht="25" customHeight="1">
      <x:c r="A34" s="2" t="str">
        <x:v>只改变段数分配</x:v>
      </x:c>
      <x:c r="B34" s="2" t="n">
        <x:v>8</x:v>
      </x:c>
      <x:c r="C34" s="2" t="n">
        <x:v>2</x:v>
      </x:c>
      <x:c r="D34" s="2" t="n">
        <x:f>B34*C34</x:f>
        <x:v>16</x:v>
      </x:c>
      <x:c r="E34" s="2" t="n">
        <x:f>C34</x:f>
        <x:v>2</x:v>
      </x:c>
    </x:row>
    <x:row r="35" ht="25" customHeight="1">
      <x:c r="A35" s="2" t="str">
        <x:v>上方对照保持总量16；潮汐按每击1格挡，仅用于理解击数，不是全局参数情景。</x:v>
      </x:c>
      <x:c r="B35" s="2"/>
      <x:c r="C35" s="2"/>
      <x:c r="D35" s="2"/>
      <x:c r="E35" s="2"/>
    </x:row>
  </x:sheetData>
  <x:dataValidations count="3">
    <x:dataValidation type="whole" operator="between" sqref="C7:C8">
      <x:formula1>1</x:formula1>
      <x:formula2>100</x:formula2>
    </x:dataValidation>
    <x:dataValidation type="whole" operator="between" sqref="C10:C18">
      <x:formula1>1</x:formula1>
      <x:formula2>100</x:formula2>
    </x:dataValidation>
    <x:dataValidation type="whole" operator="between" sqref="C9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a0cb7aa450143b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.440000534057617" hidden="0" customWidth="1"/>
    <x:col min="2" max="2" width="21.110000610351562" hidden="0" customWidth="1"/>
    <x:col min="3" max="3" width="7.110000133514404" hidden="0" customWidth="1"/>
    <x:col min="4" max="4" width="9.4399995803833" hidden="0" customWidth="1"/>
    <x:col min="5" max="5" width="11.109999656677246" hidden="0" customWidth="1"/>
    <x:col min="6" max="6" width="50" hidden="0" customWidth="1"/>
    <x:col min="7" max="7" width="32.220001220703125" hidden="0" customWidth="1"/>
    <x:col min="8" max="8" width="15" hidden="0" customWidth="1"/>
    <x:col min="9" max="9" width="22.219999313354492" hidden="0" customWidth="1"/>
    <x:col min="10" max="10" width="28.889999389648438" hidden="0" customWidth="1"/>
    <x:col min="11" max="11" width="10" hidden="0" customWidth="1"/>
    <x:col min="12" max="12" width="12.220000267028809" hidden="0" customWidth="1"/>
    <x:col min="13" max="13" width="11.109999656677246" hidden="0" customWidth="1"/>
    <x:col min="14" max="14" width="10" hidden="0" customWidth="1"/>
    <x:col min="15" max="15" width="47.779998779296875" hidden="0" customWidth="1"/>
    <x:col min="16" max="16" width="12.4399995803833" hidden="0" customWidth="1"/>
    <x:col min="17" max="17" width="12.4399995803833" hidden="0" customWidth="1"/>
    <x:col min="18" max="18" width="12.4399995803833" hidden="0" customWidth="1"/>
    <x:col min="19" max="19" width="12.4399995803833" hidden="0" customWidth="1"/>
    <x:col min="20" max="20" width="12.4399995803833" hidden="0" customWidth="1"/>
    <x:col min="21" max="21" width="12.4399995803833" hidden="0" customWidth="1"/>
    <x:col min="22" max="22" width="12.4399995803833" hidden="0" customWidth="1"/>
    <x:col min="23" max="23" width="58.8899993896484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5" customHeight="1">
      <x:c r="A2" s="3" t="str">
        <x:v>若叶睦完整源码卡牌清单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5" customHeight="1">
      <x:c r="A4" s="5" t="str">
        <x:v>固定提交 03dc9ad，93类。F至H为源码效果；I、J、K、N、O为研究者标注。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t="str">
        <x:v>不可把93类都视为普通奖励牌。升级栏=基础效果加改动；关联Power与时序说明见研究报告。</x:v>
      </x:c>
    </x:row>
    <x:row r="6" ht="30" customHeight="1">
      <x:c r="A6" s="12" t="str">
        <x:v>Card ID</x:v>
      </x:c>
      <x:c r="B6" s="12" t="str">
        <x:v>卡名</x:v>
      </x:c>
      <x:c r="C6" s="12" t="str">
        <x:v>费用</x:v>
      </x:c>
      <x:c r="D6" s="12" t="str">
        <x:v>类型</x:v>
      </x:c>
      <x:c r="E6" s="12" t="str">
        <x:v>稀有度</x:v>
      </x:c>
      <x:c r="F6" s="12" t="str">
        <x:v>基础效果</x:v>
      </x:c>
      <x:c r="G6" s="12" t="str">
        <x:v>升级变化</x:v>
      </x:c>
      <x:c r="H6" s="12" t="str">
        <x:v>固定关键词</x:v>
      </x:c>
      <x:c r="I6" s="12" t="str">
        <x:v>构筑标签</x:v>
      </x:c>
      <x:c r="J6" s="12" t="str">
        <x:v>设计职责</x:v>
      </x:c>
      <x:c r="K6" s="12" t="str">
        <x:v>升级分类</x:v>
      </x:c>
      <x:c r="L6" s="12" t="str">
        <x:v>获得范围</x:v>
      </x:c>
      <x:c r="M6" s="12" t="str">
        <x:v>模式限制</x:v>
      </x:c>
      <x:c r="N6" s="12" t="str">
        <x:v>纯Utility</x:v>
      </x:c>
      <x:c r="O6" s="12" t="str">
        <x:v>设计判断与核对备注</x:v>
      </x:c>
      <x:c r="P6" s="12" t="str">
        <x:v>Generator</x:v>
      </x:c>
      <x:c r="Q6" s="12" t="str">
        <x:v>Consumer</x:v>
      </x:c>
      <x:c r="R6" s="12" t="str">
        <x:v>Payoff</x:v>
      </x:c>
      <x:c r="S6" s="12" t="str">
        <x:v>Enabler</x:v>
      </x:c>
      <x:c r="T6" s="12" t="str">
        <x:v>Bridge</x:v>
      </x:c>
      <x:c r="U6" s="12" t="str">
        <x:v>Build-around</x:v>
      </x:c>
      <x:c r="V6" s="12" t="str">
        <x:v>Utility</x:v>
      </x:c>
      <x:c r="W6" s="12" t="str">
        <x:v>源码定位</x:v>
      </x:c>
    </x:row>
    <x:row r="7" ht="48" customHeight="1">
      <x:c r="A7" s="8" t="str">
        <x:v>Acting</x:v>
      </x:c>
      <x:c r="B7" s="8" t="str">
        <x:v>演技</x:v>
      </x:c>
      <x:c r="C7" s="8" t="n">
        <x:v>1</x:v>
      </x:c>
      <x:c r="D7" s="8" t="str">
        <x:v>Skill</x:v>
      </x:c>
      <x:c r="E7" s="8" t="str">
        <x:v>Common</x:v>
      </x:c>
      <x:c r="F7" s="8" t="str">
        <x:v>抽2；获得1层转换人格；立即切换形态。</x:v>
      </x:c>
      <x:c r="G7" s="8" t="str">
        <x:v>抽2→3；额外获得本回合2力量、2敏捷。</x:v>
      </x:c>
      <x:c r="H7" s="8" t="str">
        <x:v>无固定关键词</x:v>
      </x:c>
      <x:c r="I7" s="8" t="str">
        <x:v>切换引擎</x:v>
      </x:c>
      <x:c r="J7" s="8" t="str">
        <x:v>Generator / Enabler / Utility</x:v>
      </x:c>
      <x:c r="K7" s="8" t="str">
        <x:v>混合</x:v>
      </x:c>
      <x:c r="L7" s="8" t="str">
        <x:v>普通奖励</x:v>
      </x:c>
      <x:c r="M7" s="8" t="str">
        <x:v>单人可用</x:v>
      </x:c>
      <x:c r="N7" s="8" t="str">
        <x:v>否</x:v>
      </x:c>
      <x:c r="O7" s="8" t="str">
        <x:v>升级后同时支援力量与敏捷，基础版不计桥梁。</x:v>
      </x:c>
      <x:c r="P7" s="8" t="str">
        <x:v>是</x:v>
      </x:c>
      <x:c r="Q7" s="8" t="str">
        <x:v>否</x:v>
      </x:c>
      <x:c r="R7" s="8" t="str">
        <x:v>否</x:v>
      </x:c>
      <x:c r="S7" s="8" t="str">
        <x:v>是</x:v>
      </x:c>
      <x:c r="T7" s="8" t="str">
        <x:v>否</x:v>
      </x:c>
      <x:c r="U7" s="8" t="str">
        <x:v>否</x:v>
      </x:c>
      <x:c r="V7" s="8" t="str">
        <x:v>是</x:v>
      </x:c>
      <x:c r="W7" s="8" t="str">
        <x:v>https://github.com/FFTYYY/sts2-MzmChar-mod/blob/03dc9add4db955351e05bcfce06cf2889f25a695/src/Game/CharacterContent/Cards/Acting.cs#L45</x:v>
      </x:c>
    </x:row>
    <x:row r="8" ht="48" customHeight="1">
      <x:c r="A8" s="13" t="str">
        <x:v>Addiction</x:v>
      </x:c>
      <x:c r="B8" s="13" t="str">
        <x:v>依存症</x:v>
      </x:c>
      <x:c r="C8" s="13" t="n">
        <x:v>1</x:v>
      </x:c>
      <x:c r="D8" s="13" t="str">
        <x:v>Power</x:v>
      </x:c>
      <x:c r="E8" s="13" t="str">
        <x:v>Rare</x:v>
      </x:c>
      <x:c r="F8" s="13" t="str">
        <x:v>每次实际切换形态，获得4格挡。</x:v>
      </x:c>
      <x:c r="G8" s="13" t="str">
        <x:v>增加固有。</x:v>
      </x:c>
      <x:c r="H8" s="13" t="str">
        <x:v>无固定关键词</x:v>
      </x:c>
      <x:c r="I8" s="13" t="str">
        <x:v>切换引擎、敏捷格挡转化</x:v>
      </x:c>
      <x:c r="J8" s="13" t="str">
        <x:v>Payoff / Build-around / Bridge</x:v>
      </x:c>
      <x:c r="K8" s="13" t="str">
        <x:v>功能</x:v>
      </x:c>
      <x:c r="L8" s="13" t="str">
        <x:v>普通奖励</x:v>
      </x:c>
      <x:c r="M8" s="13" t="str">
        <x:v>单人可用</x:v>
      </x:c>
      <x:c r="N8" s="13" t="str">
        <x:v>否</x:v>
      </x:c>
      <x:c r="O8" s="13" t="str">
        <x:v>切换次数转化为防御，可接格挡转活力。</x:v>
      </x:c>
      <x:c r="P8" s="13" t="str">
        <x:v>否</x:v>
      </x:c>
      <x:c r="Q8" s="13" t="str">
        <x:v>否</x:v>
      </x:c>
      <x:c r="R8" s="13" t="str">
        <x:v>是</x:v>
      </x:c>
      <x:c r="S8" s="13" t="str">
        <x:v>否</x:v>
      </x:c>
      <x:c r="T8" s="13" t="str">
        <x:v>是</x:v>
      </x:c>
      <x:c r="U8" s="13" t="str">
        <x:v>是</x:v>
      </x:c>
      <x:c r="V8" s="13" t="str">
        <x:v>否</x:v>
      </x:c>
      <x:c r="W8" s="13" t="str">
        <x:v>https://github.com/FFTYYY/sts2-MzmChar-mod/blob/03dc9add4db955351e05bcfce06cf2889f25a695/src/Game/CharacterContent/Cards/Addiction.cs#L35</x:v>
      </x:c>
    </x:row>
    <x:row r="9" ht="48" customHeight="1">
      <x:c r="A9" s="8" t="str">
        <x:v>Alone</x:v>
      </x:c>
      <x:c r="B9" s="8" t="str">
        <x:v>独处</x:v>
      </x:c>
      <x:c r="C9" s="8" t="n">
        <x:v>1</x:v>
      </x:c>
      <x:c r="D9" s="8" t="str">
        <x:v>Skill</x:v>
      </x:c>
      <x:c r="E9" s="8" t="str">
        <x:v>Rare</x:v>
      </x:c>
      <x:c r="F9" s="8" t="str">
        <x:v>睦：8格挡，每3敏捷获得1力量；墨：10伤害，每3力量获得1敏捷。</x:v>
      </x:c>
      <x:c r="G9" s="8" t="str">
        <x:v>格挡8→12；伤害10→15。</x:v>
      </x:c>
      <x:c r="H9" s="8" t="str">
        <x:v>无固定关键词</x:v>
      </x:c>
      <x:c r="I9" s="8" t="str">
        <x:v>敏捷格挡转化、力量活力多段</x:v>
      </x:c>
      <x:c r="J9" s="8" t="str">
        <x:v>Generator / Payoff / Bridge</x:v>
      </x:c>
      <x:c r="K9" s="8" t="str">
        <x:v>数值</x:v>
      </x:c>
      <x:c r="L9" s="8" t="str">
        <x:v>普通奖励</x:v>
      </x:c>
      <x:c r="M9" s="8" t="str">
        <x:v>单人可用</x:v>
      </x:c>
      <x:c r="N9" s="8" t="str">
        <x:v>否</x:v>
      </x:c>
      <x:c r="O9" s="8" t="str">
        <x:v>敏捷与力量互相转化；正数层数按整数除法。</x:v>
      </x:c>
      <x:c r="P9" s="8" t="str">
        <x:v>是</x:v>
      </x:c>
      <x:c r="Q9" s="8" t="str">
        <x:v>否</x:v>
      </x:c>
      <x:c r="R9" s="8" t="str">
        <x:v>是</x:v>
      </x:c>
      <x:c r="S9" s="8" t="str">
        <x:v>否</x:v>
      </x:c>
      <x:c r="T9" s="8" t="str">
        <x:v>是</x:v>
      </x:c>
      <x:c r="U9" s="8" t="str">
        <x:v>否</x:v>
      </x:c>
      <x:c r="V9" s="8" t="str">
        <x:v>否</x:v>
      </x:c>
      <x:c r="W9" s="8" t="str">
        <x:v>https://github.com/FFTYYY/sts2-MzmChar-mod/blob/03dc9add4db955351e05bcfce06cf2889f25a695/src/Game/CharacterContent/Cards/Alone.cs#L29</x:v>
      </x:c>
    </x:row>
    <x:row r="10" ht="48" customHeight="1">
      <x:c r="A10" s="13" t="str">
        <x:v>BackPersona</x:v>
      </x:c>
      <x:c r="B10" s="13" t="str">
        <x:v>里人格</x:v>
      </x:c>
      <x:c r="C10" s="13" t="n">
        <x:v>0</x:v>
      </x:c>
      <x:c r="D10" s="13" t="str">
        <x:v>Skill</x:v>
      </x:c>
      <x:c r="E10" s="13" t="str">
        <x:v>Token</x:v>
      </x:c>
      <x:c r="F10" s="13" t="str">
        <x:v>进入小墨；下次回合开始时保留格挡。【保留】</x:v>
      </x:c>
      <x:c r="G10" s="13" t="str">
        <x:v>额外获得7格挡。</x:v>
      </x:c>
      <x:c r="H10" s="13" t="str">
        <x:v>保留</x:v>
      </x:c>
      <x:c r="I10" s="13" t="str">
        <x:v>切换引擎、敏捷格挡转化</x:v>
      </x:c>
      <x:c r="J10" s="13" t="str">
        <x:v>Enabler / Bridge</x:v>
      </x:c>
      <x:c r="K10" s="13" t="str">
        <x:v>功能</x:v>
      </x:c>
      <x:c r="L10" s="13" t="str">
        <x:v>生成牌</x:v>
      </x:c>
      <x:c r="M10" s="13" t="str">
        <x:v>单人可用</x:v>
      </x:c>
      <x:c r="N10" s="13" t="str">
        <x:v>否</x:v>
      </x:c>
      <x:c r="O10" s="13" t="str">
        <x:v>形态调度连接格挡存储。</x:v>
      </x:c>
      <x:c r="P10" s="13" t="str">
        <x:v>否</x:v>
      </x:c>
      <x:c r="Q10" s="13" t="str">
        <x:v>否</x:v>
      </x:c>
      <x:c r="R10" s="13" t="str">
        <x:v>否</x:v>
      </x:c>
      <x:c r="S10" s="13" t="str">
        <x:v>是</x:v>
      </x:c>
      <x:c r="T10" s="13" t="str">
        <x:v>是</x:v>
      </x:c>
      <x:c r="U10" s="13" t="str">
        <x:v>否</x:v>
      </x:c>
      <x:c r="V10" s="13" t="str">
        <x:v>否</x:v>
      </x:c>
      <x:c r="W10" s="13" t="str">
        <x:v>https://github.com/FFTYYY/sts2-MzmChar-mod/blob/03dc9add4db955351e05bcfce06cf2889f25a695/src/Game/CharacterContent/Cards/BackPersona.cs#L50</x:v>
      </x:c>
    </x:row>
    <x:row r="11" ht="48" customHeight="1">
      <x:c r="A11" s="8" t="str">
        <x:v>Backstage</x:v>
      </x:c>
      <x:c r="B11" s="8" t="str">
        <x:v>候场</x:v>
      </x:c>
      <x:c r="C11" s="8" t="n">
        <x:v>0</x:v>
      </x:c>
      <x:c r="D11" s="8" t="str">
        <x:v>Skill</x:v>
      </x:c>
      <x:c r="E11" s="8" t="str">
        <x:v>Common</x:v>
      </x:c>
      <x:c r="F11" s="8" t="str">
        <x:v>非演奏会：1演艺热情；演奏会：12格挡。【虚无、消耗、演奏】</x:v>
      </x:c>
      <x:c r="G11" s="8" t="str">
        <x:v>格挡12→16。</x:v>
      </x:c>
      <x:c r="H11" s="8" t="str">
        <x:v>虚无、消耗、演奏</x:v>
      </x:c>
      <x:c r="I11" s="8" t="str">
        <x:v>演奏会</x:v>
      </x:c>
      <x:c r="J11" s="8" t="str">
        <x:v>Generator / Payoff / Utility</x:v>
      </x:c>
      <x:c r="K11" s="8" t="str">
        <x:v>数值</x:v>
      </x:c>
      <x:c r="L11" s="8" t="str">
        <x:v>普通奖励</x:v>
      </x:c>
      <x:c r="M11" s="8" t="str">
        <x:v>单人可用</x:v>
      </x:c>
      <x:c r="N11" s="8" t="str">
        <x:v>否</x:v>
      </x:c>
      <x:c r="O11" s="8" t="str">
        <x:v>演奏牌均有虚无、消耗；离开窗口仍能产资源。</x:v>
      </x:c>
      <x:c r="P11" s="8" t="str">
        <x:v>是</x:v>
      </x:c>
      <x:c r="Q11" s="8" t="str">
        <x:v>否</x:v>
      </x:c>
      <x:c r="R11" s="8" t="str">
        <x:v>是</x:v>
      </x:c>
      <x:c r="S11" s="8" t="str">
        <x:v>否</x:v>
      </x:c>
      <x:c r="T11" s="8" t="str">
        <x:v>否</x:v>
      </x:c>
      <x:c r="U11" s="8" t="str">
        <x:v>否</x:v>
      </x:c>
      <x:c r="V11" s="8" t="str">
        <x:v>是</x:v>
      </x:c>
      <x:c r="W11" s="8" t="str">
        <x:v>https://github.com/FFTYYY/sts2-MzmChar-mod/blob/03dc9add4db955351e05bcfce06cf2889f25a695/src/Game/CharacterContent/Cards/Backstage.cs#L45</x:v>
      </x:c>
    </x:row>
    <x:row r="12" ht="48" customHeight="1">
      <x:c r="A12" s="13" t="str">
        <x:v>BeatMirror</x:v>
      </x:c>
      <x:c r="B12" s="13" t="str">
        <x:v>砸碎镜子</x:v>
      </x:c>
      <x:c r="C12" s="13" t="n">
        <x:v>0</x:v>
      </x:c>
      <x:c r="D12" s="13" t="str">
        <x:v>Attack</x:v>
      </x:c>
      <x:c r="E12" s="13" t="str">
        <x:v>Common</x:v>
      </x:c>
      <x:c r="F12" s="13" t="str">
        <x:v>睦：3活力，目标1易伤；墨：5伤害，目标1虚弱。</x:v>
      </x:c>
      <x:c r="G12" s="13" t="str">
        <x:v>易伤1→2；伤害5→8。</x:v>
      </x:c>
      <x:c r="H12" s="13" t="str">
        <x:v>无固定关键词</x:v>
      </x:c>
      <x:c r="I12" s="13" t="str">
        <x:v>力量活力多段</x:v>
      </x:c>
      <x:c r="J12" s="13" t="str">
        <x:v>Generator / Enabler / Utility</x:v>
      </x:c>
      <x:c r="K12" s="13" t="str">
        <x:v>数值</x:v>
      </x:c>
      <x:c r="L12" s="13" t="str">
        <x:v>普通奖励</x:v>
      </x:c>
      <x:c r="M12" s="13" t="str">
        <x:v>单人可用</x:v>
      </x:c>
      <x:c r="N12" s="13" t="str">
        <x:v>否</x:v>
      </x:c>
      <x:c r="O12" s="13" t="str">
        <x:v>铺垫与伤害同卡，不因双形态自动记为跨流派桥梁。</x:v>
      </x:c>
      <x:c r="P12" s="13" t="str">
        <x:v>是</x:v>
      </x:c>
      <x:c r="Q12" s="13" t="str">
        <x:v>否</x:v>
      </x:c>
      <x:c r="R12" s="13" t="str">
        <x:v>否</x:v>
      </x:c>
      <x:c r="S12" s="13" t="str">
        <x:v>是</x:v>
      </x:c>
      <x:c r="T12" s="13" t="str">
        <x:v>否</x:v>
      </x:c>
      <x:c r="U12" s="13" t="str">
        <x:v>否</x:v>
      </x:c>
      <x:c r="V12" s="13" t="str">
        <x:v>是</x:v>
      </x:c>
      <x:c r="W12" s="13" t="str">
        <x:v>https://github.com/FFTYYY/sts2-MzmChar-mod/blob/03dc9add4db955351e05bcfce06cf2889f25a695/src/Game/CharacterContent/Cards/BeatMirror.cs#L48</x:v>
      </x:c>
    </x:row>
    <x:row r="13" ht="48" customHeight="1">
      <x:c r="A13" s="8" t="str">
        <x:v>BecomeMain</x:v>
      </x:c>
      <x:c r="B13" s="8" t="str">
        <x:v>成为本尊</x:v>
      </x:c>
      <x:c r="C13" s="8" t="n">
        <x:v>1</x:v>
      </x:c>
      <x:c r="D13" s="8" t="str">
        <x:v>Skill</x:v>
      </x:c>
      <x:c r="E13" s="8" t="str">
        <x:v>Rare</x:v>
      </x:c>
      <x:c r="F13" s="8" t="str">
        <x:v>本回合禁止切换。睦：获得3能量；墨：随机敌人15伤害，15格挡。【消耗】</x:v>
      </x:c>
      <x:c r="G13" s="8" t="str">
        <x:v>移除消耗。</x:v>
      </x:c>
      <x:c r="H13" s="8" t="str">
        <x:v>消耗</x:v>
      </x:c>
      <x:c r="I13" s="8" t="str">
        <x:v>泛用</x:v>
      </x:c>
      <x:c r="J13" s="8" t="str">
        <x:v>Enabler / Utility</x:v>
      </x:c>
      <x:c r="K13" s="8" t="str">
        <x:v>功能</x:v>
      </x:c>
      <x:c r="L13" s="8" t="str">
        <x:v>普通奖励</x:v>
      </x:c>
      <x:c r="M13" s="8" t="str">
        <x:v>单人可用</x:v>
      </x:c>
      <x:c r="N13" s="8" t="str">
        <x:v>否</x:v>
      </x:c>
      <x:c r="O13" s="8" t="str">
        <x:v>支付1后睦净得2能量；升级允许战斗内重复循环。</x:v>
      </x:c>
      <x:c r="P13" s="8" t="str">
        <x:v>否</x:v>
      </x:c>
      <x:c r="Q13" s="8" t="str">
        <x:v>否</x:v>
      </x:c>
      <x:c r="R13" s="8" t="str">
        <x:v>否</x:v>
      </x:c>
      <x:c r="S13" s="8" t="str">
        <x:v>是</x:v>
      </x:c>
      <x:c r="T13" s="8" t="str">
        <x:v>否</x:v>
      </x:c>
      <x:c r="U13" s="8" t="str">
        <x:v>否</x:v>
      </x:c>
      <x:c r="V13" s="8" t="str">
        <x:v>是</x:v>
      </x:c>
      <x:c r="W13" s="8" t="str">
        <x:v>https://github.com/FFTYYY/sts2-MzmChar-mod/blob/03dc9add4db955351e05bcfce06cf2889f25a695/src/Game/CharacterContent/Cards/BecomeMain.cs#L49</x:v>
      </x:c>
    </x:row>
    <x:row r="14" ht="48" customHeight="1">
      <x:c r="A14" s="13" t="str">
        <x:v>BrainBully</x:v>
      </x:c>
      <x:c r="B14" s="13" t="str">
        <x:v>脑内霸凌</x:v>
      </x:c>
      <x:c r="C14" s="13" t="n">
        <x:v>1</x:v>
      </x:c>
      <x:c r="D14" s="13" t="str">
        <x:v>Attack</x:v>
      </x:c>
      <x:c r="E14" s="13" t="str">
        <x:v>Uncommon</x:v>
      </x:c>
      <x:c r="F14" s="13" t="str">
        <x:v>睦：2回合内，目标易伤生效时，伤害倍率额外+0.5；墨：10伤害，2回合内目标虚弱生效时，输出倍率额外-0.25。</x:v>
      </x:c>
      <x:c r="G14" s="13" t="str">
        <x:v>两种额外效果持续2→4回合。</x:v>
      </x:c>
      <x:c r="H14" s="13" t="str">
        <x:v>无固定关键词</x:v>
      </x:c>
      <x:c r="I14" s="13" t="str">
        <x:v>力量活力多段</x:v>
      </x:c>
      <x:c r="J14" s="13" t="str">
        <x:v>Payoff / Enabler / Utility</x:v>
      </x:c>
      <x:c r="K14" s="13" t="str">
        <x:v>数值</x:v>
      </x:c>
      <x:c r="L14" s="13" t="str">
        <x:v>普通奖励</x:v>
      </x:c>
      <x:c r="M14" s="13" t="str">
        <x:v>单人可用</x:v>
      </x:c>
      <x:c r="N14" s="13" t="str">
        <x:v>否</x:v>
      </x:c>
      <x:c r="O14" s="13" t="str">
        <x:v>效果本身不施加易伤或虚弱；在原倍率上加减，非再次乘1.5或0.75。</x:v>
      </x:c>
      <x:c r="P14" s="13" t="str">
        <x:v>否</x:v>
      </x:c>
      <x:c r="Q14" s="13" t="str">
        <x:v>否</x:v>
      </x:c>
      <x:c r="R14" s="13" t="str">
        <x:v>是</x:v>
      </x:c>
      <x:c r="S14" s="13" t="str">
        <x:v>是</x:v>
      </x:c>
      <x:c r="T14" s="13" t="str">
        <x:v>否</x:v>
      </x:c>
      <x:c r="U14" s="13" t="str">
        <x:v>否</x:v>
      </x:c>
      <x:c r="V14" s="13" t="str">
        <x:v>是</x:v>
      </x:c>
      <x:c r="W14" s="13" t="str">
        <x:v>https://github.com/FFTYYY/sts2-MzmChar-mod/blob/03dc9add4db955351e05bcfce06cf2889f25a695/src/Game/CharacterContent/Cards/BrainBully.cs#L47</x:v>
      </x:c>
    </x:row>
    <x:row r="15" ht="48" customHeight="1">
      <x:c r="A15" s="8" t="str">
        <x:v>BullyingYou</x:v>
      </x:c>
      <x:c r="B15" s="8" t="str">
        <x:v>霸凌着你</x:v>
      </x:c>
      <x:c r="C15" s="8" t="n">
        <x:v>0</x:v>
      </x:c>
      <x:c r="D15" s="8" t="str">
        <x:v>Skill</x:v>
      </x:c>
      <x:c r="E15" s="8" t="str">
        <x:v>Uncommon</x:v>
      </x:c>
      <x:c r="F15" s="8" t="str">
        <x:v>另一玩家获得2能量、抽1，受到3不可格挡且不受增减伤修正的伤害，并获得2易伤。</x:v>
      </x:c>
      <x:c r="G15" s="8" t="str">
        <x:v>能量2→3；抽1→2。</x:v>
      </x:c>
      <x:c r="H15" s="8" t="str">
        <x:v>无固定关键词</x:v>
      </x:c>
      <x:c r="I15" s="8" t="str">
        <x:v>生成协作</x:v>
      </x:c>
      <x:c r="J15" s="8" t="str">
        <x:v>Generator / Utility</x:v>
      </x:c>
      <x:c r="K15" s="8" t="str">
        <x:v>数值</x:v>
      </x:c>
      <x:c r="L15" s="8" t="str">
        <x:v>普通奖励</x:v>
      </x:c>
      <x:c r="M15" s="8" t="str">
        <x:v>仅多人</x:v>
      </x:c>
      <x:c r="N15" s="8" t="str">
        <x:v>否</x:v>
      </x:c>
      <x:c r="O15" s="8" t="str">
        <x:v>仅多人；这里的自损走伤害事件，不能视为无事件HP扣除。</x:v>
      </x:c>
      <x:c r="P15" s="8" t="str">
        <x:v>是</x:v>
      </x:c>
      <x:c r="Q15" s="8" t="str">
        <x:v>否</x:v>
      </x:c>
      <x:c r="R15" s="8" t="str">
        <x:v>否</x:v>
      </x:c>
      <x:c r="S15" s="8" t="str">
        <x:v>否</x:v>
      </x:c>
      <x:c r="T15" s="8" t="str">
        <x:v>否</x:v>
      </x:c>
      <x:c r="U15" s="8" t="str">
        <x:v>否</x:v>
      </x:c>
      <x:c r="V15" s="8" t="str">
        <x:v>是</x:v>
      </x:c>
      <x:c r="W15" s="8" t="str">
        <x:v>https://github.com/FFTYYY/sts2-MzmChar-mod/blob/03dc9add4db955351e05bcfce06cf2889f25a695/src/Game/CharacterContent/Cards/BullyingYou.cs#L43</x:v>
      </x:c>
    </x:row>
    <x:row r="16" ht="48" customHeight="1">
      <x:c r="A16" s="13" t="str">
        <x:v>CantPlayAtAll</x:v>
      </x:c>
      <x:c r="B16" s="13" t="str">
        <x:v>全都不会弹！</x:v>
      </x:c>
      <x:c r="C16" s="13" t="n">
        <x:v>1</x:v>
      </x:c>
      <x:c r="D16" s="13" t="str">
        <x:v>Power</x:v>
      </x:c>
      <x:c r="E16" s="13" t="str">
        <x:v>Rare</x:v>
      </x:c>
      <x:c r="F16" s="13" t="str">
        <x:v>睦：永久4力量、失去1敏捷；墨：永久4敏捷、失去1力量。</x:v>
      </x:c>
      <x:c r="G16" s="13" t="str">
        <x:v>力量4→6；敏捷4→5。</x:v>
      </x:c>
      <x:c r="H16" s="13" t="str">
        <x:v>无固定关键词</x:v>
      </x:c>
      <x:c r="I16" s="13" t="str">
        <x:v>力量活力多段、敏捷格挡转化</x:v>
      </x:c>
      <x:c r="J16" s="13" t="str">
        <x:v>Generator / Bridge</x:v>
      </x:c>
      <x:c r="K16" s="13" t="str">
        <x:v>数值</x:v>
      </x:c>
      <x:c r="L16" s="13" t="str">
        <x:v>普通奖励</x:v>
      </x:c>
      <x:c r="M16" s="13" t="str">
        <x:v>单人可用</x:v>
      </x:c>
      <x:c r="N16" s="13" t="str">
        <x:v>否</x:v>
      </x:c>
      <x:c r="O16" s="13" t="str">
        <x:v>同一能力根据打出形态选择攻击或防御成长。</x:v>
      </x:c>
      <x:c r="P16" s="13" t="str">
        <x:v>是</x:v>
      </x:c>
      <x:c r="Q16" s="13" t="str">
        <x:v>否</x:v>
      </x:c>
      <x:c r="R16" s="13" t="str">
        <x:v>否</x:v>
      </x:c>
      <x:c r="S16" s="13" t="str">
        <x:v>否</x:v>
      </x:c>
      <x:c r="T16" s="13" t="str">
        <x:v>是</x:v>
      </x:c>
      <x:c r="U16" s="13" t="str">
        <x:v>否</x:v>
      </x:c>
      <x:c r="V16" s="13" t="str">
        <x:v>否</x:v>
      </x:c>
      <x:c r="W16" s="13" t="str">
        <x:v>https://github.com/FFTYYY/sts2-MzmChar-mod/blob/03dc9add4db955351e05bcfce06cf2889f25a695/src/Game/CharacterContent/Cards/CantPlayAtAll.cs#L42</x:v>
      </x:c>
    </x:row>
    <x:row r="17" ht="48" customHeight="1">
      <x:c r="A17" s="8" t="str">
        <x:v>Catharsis</x:v>
      </x:c>
      <x:c r="B17" s="8" t="str">
        <x:v>宣泄</x:v>
      </x:c>
      <x:c r="C17" s="8" t="n">
        <x:v>1</x:v>
      </x:c>
      <x:c r="D17" s="8" t="str">
        <x:v>Attack</x:v>
      </x:c>
      <x:c r="E17" s="8" t="str">
        <x:v>Uncommon</x:v>
      </x:c>
      <x:c r="F17" s="8" t="str">
        <x:v>睦：本回合6力量；墨：7伤害×2。</x:v>
      </x:c>
      <x:c r="G17" s="8" t="str">
        <x:v>睦额外4活力；每段伤害7→9。</x:v>
      </x:c>
      <x:c r="H17" s="8" t="str">
        <x:v>无固定关键词</x:v>
      </x:c>
      <x:c r="I17" s="8" t="str">
        <x:v>力量活力多段</x:v>
      </x:c>
      <x:c r="J17" s="8" t="str">
        <x:v>Generator / Consumer / Payoff</x:v>
      </x:c>
      <x:c r="K17" s="8" t="str">
        <x:v>混合</x:v>
      </x:c>
      <x:c r="L17" s="8" t="str">
        <x:v>普通奖励</x:v>
      </x:c>
      <x:c r="M17" s="8" t="str">
        <x:v>单人可用</x:v>
      </x:c>
      <x:c r="N17" s="8" t="str">
        <x:v>否</x:v>
      </x:c>
      <x:c r="O17" s="8" t="str">
        <x:v>一条攻击命令的多段攻击；新增活力属于资源维度变化。</x:v>
      </x:c>
      <x:c r="P17" s="8" t="str">
        <x:v>是</x:v>
      </x:c>
      <x:c r="Q17" s="8" t="str">
        <x:v>是</x:v>
      </x:c>
      <x:c r="R17" s="8" t="str">
        <x:v>是</x:v>
      </x:c>
      <x:c r="S17" s="8" t="str">
        <x:v>否</x:v>
      </x:c>
      <x:c r="T17" s="8" t="str">
        <x:v>否</x:v>
      </x:c>
      <x:c r="U17" s="8" t="str">
        <x:v>否</x:v>
      </x:c>
      <x:c r="V17" s="8" t="str">
        <x:v>否</x:v>
      </x:c>
      <x:c r="W17" s="8" t="str">
        <x:v>https://github.com/FFTYYY/sts2-MzmChar-mod/blob/03dc9add4db955351e05bcfce06cf2889f25a695/src/Game/CharacterContent/Cards/Catharsis.cs#L45</x:v>
      </x:c>
    </x:row>
    <x:row r="18" ht="48" customHeight="1">
      <x:c r="A18" s="13" t="str">
        <x:v>ChaseCat</x:v>
      </x:c>
      <x:c r="B18" s="13" t="str">
        <x:v>猫猫</x:v>
      </x:c>
      <x:c r="C18" s="13" t="n">
        <x:v>1</x:v>
      </x:c>
      <x:c r="D18" s="13" t="str">
        <x:v>Attack</x:v>
      </x:c>
      <x:c r="E18" s="13" t="str">
        <x:v>Common</x:v>
      </x:c>
      <x:c r="F18" s="13" t="str">
        <x:v>睦：抽2；墨：3伤害×3，每段独立随机目标。</x:v>
      </x:c>
      <x:c r="G18" s="13" t="str">
        <x:v>抽2→3；每段3→4。</x:v>
      </x:c>
      <x:c r="H18" s="13" t="str">
        <x:v>无固定关键词</x:v>
      </x:c>
      <x:c r="I18" s="13" t="str">
        <x:v>力量活力多段</x:v>
      </x:c>
      <x:c r="J18" s="13" t="str">
        <x:v>Consumer / Payoff / Utility</x:v>
      </x:c>
      <x:c r="K18" s="13" t="str">
        <x:v>数值</x:v>
      </x:c>
      <x:c r="L18" s="13" t="str">
        <x:v>普通奖励</x:v>
      </x:c>
      <x:c r="M18" s="13" t="str">
        <x:v>单人可用</x:v>
      </x:c>
      <x:c r="N18" s="13" t="str">
        <x:v>否</x:v>
      </x:c>
      <x:c r="O18" s="13" t="str">
        <x:v>多段兑现力量与活力，抽牌提供低配用途。</x:v>
      </x:c>
      <x:c r="P18" s="13" t="str">
        <x:v>否</x:v>
      </x:c>
      <x:c r="Q18" s="13" t="str">
        <x:v>是</x:v>
      </x:c>
      <x:c r="R18" s="13" t="str">
        <x:v>是</x:v>
      </x:c>
      <x:c r="S18" s="13" t="str">
        <x:v>否</x:v>
      </x:c>
      <x:c r="T18" s="13" t="str">
        <x:v>否</x:v>
      </x:c>
      <x:c r="U18" s="13" t="str">
        <x:v>否</x:v>
      </x:c>
      <x:c r="V18" s="13" t="str">
        <x:v>是</x:v>
      </x:c>
      <x:c r="W18" s="13" t="str">
        <x:v>https://github.com/FFTYYY/sts2-MzmChar-mod/blob/03dc9add4db955351e05bcfce06cf2889f25a695/src/Game/CharacterContent/Cards/ChaseCat.cs#L36</x:v>
      </x:c>
    </x:row>
    <x:row r="19" ht="48" customHeight="1">
      <x:c r="A19" s="8" t="str">
        <x:v>Comedian</x:v>
      </x:c>
      <x:c r="B19" s="8" t="str">
        <x:v>搞笑艺人</x:v>
      </x:c>
      <x:c r="C19" s="8" t="n">
        <x:v>3</x:v>
      </x:c>
      <x:c r="D19" s="8" t="str">
        <x:v>Power</x:v>
      </x:c>
      <x:c r="E19" s="8" t="str">
        <x:v>Rare</x:v>
      </x:c>
      <x:c r="F19" s="8" t="str">
        <x:v>每实际切换2次形态，为下回合积累1能量。</x:v>
      </x:c>
      <x:c r="G19" s="8" t="str">
        <x:v>费用3→2。</x:v>
      </x:c>
      <x:c r="H19" s="8" t="str">
        <x:v>无固定关键词</x:v>
      </x:c>
      <x:c r="I19" s="8" t="str">
        <x:v>切换引擎</x:v>
      </x:c>
      <x:c r="J19" s="8" t="str">
        <x:v>Generator / Payoff / Build-around</x:v>
      </x:c>
      <x:c r="K19" s="8" t="str">
        <x:v>费用</x:v>
      </x:c>
      <x:c r="L19" s="8" t="str">
        <x:v>普通奖励</x:v>
      </x:c>
      <x:c r="M19" s="8" t="str">
        <x:v>单人可用</x:v>
      </x:c>
      <x:c r="N19" s="8" t="str">
        <x:v>否</x:v>
      </x:c>
      <x:c r="O19" s="8" t="str">
        <x:v>每份能力独立计数；能量延迟到账。</x:v>
      </x:c>
      <x:c r="P19" s="8" t="str">
        <x:v>是</x:v>
      </x:c>
      <x:c r="Q19" s="8" t="str">
        <x:v>否</x:v>
      </x:c>
      <x:c r="R19" s="8" t="str">
        <x:v>是</x:v>
      </x:c>
      <x:c r="S19" s="8" t="str">
        <x:v>否</x:v>
      </x:c>
      <x:c r="T19" s="8" t="str">
        <x:v>否</x:v>
      </x:c>
      <x:c r="U19" s="8" t="str">
        <x:v>是</x:v>
      </x:c>
      <x:c r="V19" s="8" t="str">
        <x:v>否</x:v>
      </x:c>
      <x:c r="W19" s="8" t="str">
        <x:v>https://github.com/FFTYYY/sts2-MzmChar-mod/blob/03dc9add4db955351e05bcfce06cf2889f25a695/src/Game/CharacterContent/Cards/Comedian.cs#L27</x:v>
      </x:c>
    </x:row>
    <x:row r="20" ht="48" customHeight="1">
      <x:c r="A20" s="13" t="str">
        <x:v>Contemplate</x:v>
      </x:c>
      <x:c r="B20" s="13" t="str">
        <x:v>低头沉思</x:v>
      </x:c>
      <x:c r="C20" s="13" t="n">
        <x:v>1</x:v>
      </x:c>
      <x:c r="D20" s="13" t="str">
        <x:v>Skill</x:v>
      </x:c>
      <x:c r="E20" s="13" t="str">
        <x:v>Uncommon</x:v>
      </x:c>
      <x:c r="F20" s="13" t="str">
        <x:v>睦：9格挡；墨：弃牌堆选1张回手。</x:v>
      </x:c>
      <x:c r="G20" s="13" t="str">
        <x:v>格挡9→13；回手的牌获得保留。</x:v>
      </x:c>
      <x:c r="H20" s="13" t="str">
        <x:v>无固定关键词</x:v>
      </x:c>
      <x:c r="I20" s="13" t="str">
        <x:v>泛用</x:v>
      </x:c>
      <x:c r="J20" s="13" t="str">
        <x:v>Utility</x:v>
      </x:c>
      <x:c r="K20" s="13" t="str">
        <x:v>混合</x:v>
      </x:c>
      <x:c r="L20" s="13" t="str">
        <x:v>普通奖励</x:v>
      </x:c>
      <x:c r="M20" s="13" t="str">
        <x:v>单人可用</x:v>
      </x:c>
      <x:c r="N20" s="13" t="str">
        <x:v>是</x:v>
      </x:c>
      <x:c r="O20" s="13" t="str">
        <x:v>回收不限定某个机制，按纯Utility统计。</x:v>
      </x:c>
      <x:c r="P20" s="13" t="str">
        <x:v>否</x:v>
      </x:c>
      <x:c r="Q20" s="13" t="str">
        <x:v>否</x:v>
      </x:c>
      <x:c r="R20" s="13" t="str">
        <x:v>否</x:v>
      </x:c>
      <x:c r="S20" s="13" t="str">
        <x:v>否</x:v>
      </x:c>
      <x:c r="T20" s="13" t="str">
        <x:v>否</x:v>
      </x:c>
      <x:c r="U20" s="13" t="str">
        <x:v>否</x:v>
      </x:c>
      <x:c r="V20" s="13" t="str">
        <x:v>是</x:v>
      </x:c>
      <x:c r="W20" s="13" t="str">
        <x:v>https://github.com/FFTYYY/sts2-MzmChar-mod/blob/03dc9add4db955351e05bcfce06cf2889f25a695/src/Game/CharacterContent/Cards/Contemplate.cs#L33</x:v>
      </x:c>
    </x:row>
    <x:row r="21" ht="48" customHeight="1">
      <x:c r="A21" s="8" t="str">
        <x:v>Crumble</x:v>
      </x:c>
      <x:c r="B21" s="8" t="str">
        <x:v>崩坏</x:v>
      </x:c>
      <x:c r="C21" s="8" t="n">
        <x:v>2</x:v>
      </x:c>
      <x:c r="D21" s="8" t="str">
        <x:v>Attack</x:v>
      </x:c>
      <x:c r="E21" s="8" t="str">
        <x:v>Rare</x:v>
      </x:c>
      <x:c r="F21" s="8" t="str">
        <x:v>睦：目标6易伤；墨：对目标造成(3+目标易伤层数)伤害×3。</x:v>
      </x:c>
      <x:c r="G21" s="8" t="str">
        <x:v>易伤6→8；攻击次数3→4。</x:v>
      </x:c>
      <x:c r="H21" s="8" t="str">
        <x:v>无固定关键词</x:v>
      </x:c>
      <x:c r="I21" s="8" t="str">
        <x:v>力量活力多段</x:v>
      </x:c>
      <x:c r="J21" s="8" t="str">
        <x:v>Generator / Consumer / Payoff</x:v>
      </x:c>
      <x:c r="K21" s="8" t="str">
        <x:v>数值</x:v>
      </x:c>
      <x:c r="L21" s="8" t="str">
        <x:v>普通奖励</x:v>
      </x:c>
      <x:c r="M21" s="8" t="str">
        <x:v>单人可用</x:v>
      </x:c>
      <x:c r="N21" s="8" t="str">
        <x:v>否</x:v>
      </x:c>
      <x:c r="O21" s="8" t="str">
        <x:v>将易伤层数再次作为基础伤害系数。</x:v>
      </x:c>
      <x:c r="P21" s="8" t="str">
        <x:v>是</x:v>
      </x:c>
      <x:c r="Q21" s="8" t="str">
        <x:v>是</x:v>
      </x:c>
      <x:c r="R21" s="8" t="str">
        <x:v>是</x:v>
      </x:c>
      <x:c r="S21" s="8" t="str">
        <x:v>否</x:v>
      </x:c>
      <x:c r="T21" s="8" t="str">
        <x:v>否</x:v>
      </x:c>
      <x:c r="U21" s="8" t="str">
        <x:v>否</x:v>
      </x:c>
      <x:c r="V21" s="8" t="str">
        <x:v>否</x:v>
      </x:c>
      <x:c r="W21" s="8" t="str">
        <x:v>https://github.com/FFTYYY/sts2-MzmChar-mod/blob/03dc9add4db955351e05bcfce06cf2889f25a695/src/Game/CharacterContent/Cards/Crumble.cs#L57</x:v>
      </x:c>
    </x:row>
    <x:row r="22" ht="48" customHeight="1">
      <x:c r="A22" s="13" t="str">
        <x:v>CryInRain</x:v>
      </x:c>
      <x:c r="B22" s="13" t="str">
        <x:v>雨中流泪</x:v>
      </x:c>
      <x:c r="C22" s="13" t="n">
        <x:v>2</x:v>
      </x:c>
      <x:c r="D22" s="13" t="str">
        <x:v>Attack</x:v>
      </x:c>
      <x:c r="E22" s="13" t="str">
        <x:v>Rare</x:v>
      </x:c>
      <x:c r="F22" s="13" t="str">
        <x:v>按打出前本战斗切换次数，每次获得本回合1力量。睦：目标1易伤并进入墨；墨：5伤害。</x:v>
      </x:c>
      <x:c r="G22" s="13" t="str">
        <x:v>每次切换对应临时力量1→2。</x:v>
      </x:c>
      <x:c r="H22" s="13" t="str">
        <x:v>无固定关键词</x:v>
      </x:c>
      <x:c r="I22" s="13" t="str">
        <x:v>切换引擎、力量活力多段</x:v>
      </x:c>
      <x:c r="J22" s="13" t="str">
        <x:v>Generator / Payoff / Bridge</x:v>
      </x:c>
      <x:c r="K22" s="13" t="str">
        <x:v>数值</x:v>
      </x:c>
      <x:c r="L22" s="13" t="str">
        <x:v>普通奖励</x:v>
      </x:c>
      <x:c r="M22" s="13" t="str">
        <x:v>单人可用</x:v>
      </x:c>
      <x:c r="N22" s="13" t="str">
        <x:v>否</x:v>
      </x:c>
      <x:c r="O22" s="13" t="str">
        <x:v>切换历史变成攻击成长；本牌随后造成的切换不计入本次快照。</x:v>
      </x:c>
      <x:c r="P22" s="13" t="str">
        <x:v>是</x:v>
      </x:c>
      <x:c r="Q22" s="13" t="str">
        <x:v>否</x:v>
      </x:c>
      <x:c r="R22" s="13" t="str">
        <x:v>是</x:v>
      </x:c>
      <x:c r="S22" s="13" t="str">
        <x:v>否</x:v>
      </x:c>
      <x:c r="T22" s="13" t="str">
        <x:v>是</x:v>
      </x:c>
      <x:c r="U22" s="13" t="str">
        <x:v>否</x:v>
      </x:c>
      <x:c r="V22" s="13" t="str">
        <x:v>否</x:v>
      </x:c>
      <x:c r="W22" s="13" t="str">
        <x:v>https://github.com/FFTYYY/sts2-MzmChar-mod/blob/03dc9add4db955351e05bcfce06cf2889f25a695/src/Game/CharacterContent/Cards/CryInRain.cs#L31</x:v>
      </x:c>
    </x:row>
    <x:row r="23" ht="48" customHeight="1">
      <x:c r="A23" s="8" t="str">
        <x:v>CutLine</x:v>
      </x:c>
      <x:c r="B23" s="8" t="str">
        <x:v>剪切线</x:v>
      </x:c>
      <x:c r="C23" s="8" t="n">
        <x:v>1</x:v>
      </x:c>
      <x:c r="D23" s="8" t="str">
        <x:v>Power</x:v>
      </x:c>
      <x:c r="E23" s="8" t="str">
        <x:v>Uncommon</x:v>
      </x:c>
      <x:c r="F23" s="8" t="str">
        <x:v>回合结束前，每1层若叶睦临时力量获得2活力。</x:v>
      </x:c>
      <x:c r="G23" s="8" t="str">
        <x:v>每层2→3活力；增加固有。</x:v>
      </x:c>
      <x:c r="H23" s="8" t="str">
        <x:v>无固定关键词</x:v>
      </x:c>
      <x:c r="I23" s="8" t="str">
        <x:v>力量活力多段</x:v>
      </x:c>
      <x:c r="J23" s="8" t="str">
        <x:v>Generator / Payoff / Build-around</x:v>
      </x:c>
      <x:c r="K23" s="8" t="str">
        <x:v>混合</x:v>
      </x:c>
      <x:c r="L23" s="8" t="str">
        <x:v>普通奖励</x:v>
      </x:c>
      <x:c r="M23" s="8" t="str">
        <x:v>单人可用</x:v>
      </x:c>
      <x:c r="N23" s="8" t="str">
        <x:v>否</x:v>
      </x:c>
      <x:c r="O23" s="8" t="str">
        <x:v>在临时力量清理前结算，将当回合投资带入后续回合。</x:v>
      </x:c>
      <x:c r="P23" s="8" t="str">
        <x:v>是</x:v>
      </x:c>
      <x:c r="Q23" s="8" t="str">
        <x:v>否</x:v>
      </x:c>
      <x:c r="R23" s="8" t="str">
        <x:v>是</x:v>
      </x:c>
      <x:c r="S23" s="8" t="str">
        <x:v>否</x:v>
      </x:c>
      <x:c r="T23" s="8" t="str">
        <x:v>否</x:v>
      </x:c>
      <x:c r="U23" s="8" t="str">
        <x:v>是</x:v>
      </x:c>
      <x:c r="V23" s="8" t="str">
        <x:v>否</x:v>
      </x:c>
      <x:c r="W23" s="8" t="str">
        <x:v>https://github.com/FFTYYY/sts2-MzmChar-mod/blob/03dc9add4db955351e05bcfce06cf2889f25a695/src/Game/CharacterContent/Cards/CutLine.cs#L41</x:v>
      </x:c>
    </x:row>
    <x:row r="24" ht="48" customHeight="1">
      <x:c r="A24" s="13" t="str">
        <x:v>DeathLake</x:v>
      </x:c>
      <x:c r="B24" s="13" t="str">
        <x:v>死亡之湖</x:v>
      </x:c>
      <x:c r="C24" s="13" t="n">
        <x:v>2</x:v>
      </x:c>
      <x:c r="D24" s="13" t="str">
        <x:v>Power</x:v>
      </x:c>
      <x:c r="E24" s="13" t="str">
        <x:v>Uncommon</x:v>
      </x:c>
      <x:c r="F24" s="13" t="str">
        <x:v>以小墨开始回合时获得2永久力量。【虚无】</x:v>
      </x:c>
      <x:c r="G24" s="13" t="str">
        <x:v>移除虚无。</x:v>
      </x:c>
      <x:c r="H24" s="13" t="str">
        <x:v>虚无</x:v>
      </x:c>
      <x:c r="I24" s="13" t="str">
        <x:v>力量活力多段</x:v>
      </x:c>
      <x:c r="J24" s="13" t="str">
        <x:v>Generator / Build-around</x:v>
      </x:c>
      <x:c r="K24" s="13" t="str">
        <x:v>功能</x:v>
      </x:c>
      <x:c r="L24" s="13" t="str">
        <x:v>普通奖励</x:v>
      </x:c>
      <x:c r="M24" s="13" t="str">
        <x:v>单人可用</x:v>
      </x:c>
      <x:c r="N24" s="13" t="str">
        <x:v>否</x:v>
      </x:c>
      <x:c r="O24" s="13" t="str">
        <x:v>要求回合起始形态，不是打出时形态。</x:v>
      </x:c>
      <x:c r="P24" s="13" t="str">
        <x:v>是</x:v>
      </x:c>
      <x:c r="Q24" s="13" t="str">
        <x:v>否</x:v>
      </x:c>
      <x:c r="R24" s="13" t="str">
        <x:v>否</x:v>
      </x:c>
      <x:c r="S24" s="13" t="str">
        <x:v>否</x:v>
      </x:c>
      <x:c r="T24" s="13" t="str">
        <x:v>否</x:v>
      </x:c>
      <x:c r="U24" s="13" t="str">
        <x:v>是</x:v>
      </x:c>
      <x:c r="V24" s="13" t="str">
        <x:v>否</x:v>
      </x:c>
      <x:c r="W24" s="13" t="str">
        <x:v>https://github.com/FFTYYY/sts2-MzmChar-mod/blob/03dc9add4db955351e05bcfce06cf2889f25a695/src/Game/CharacterContent/Cards/DeathLake.cs#L33</x:v>
      </x:c>
    </x:row>
    <x:row r="25" ht="48" customHeight="1">
      <x:c r="A25" s="8" t="str">
        <x:v>DevourSelf</x:v>
      </x:c>
      <x:c r="B25" s="8" t="str">
        <x:v>吞噬自己</x:v>
      </x:c>
      <x:c r="C25" s="8" t="n">
        <x:v>1</x:v>
      </x:c>
      <x:c r="D25" s="8" t="str">
        <x:v>Attack</x:v>
      </x:c>
      <x:c r="E25" s="8" t="str">
        <x:v>Rare</x:v>
      </x:c>
      <x:c r="F25" s="8" t="str">
        <x:v>睦：获得当前敏捷×2活力，进入墨；墨：造成当前敏捷×3伤害，进入睦。</x:v>
      </x:c>
      <x:c r="G25" s="8" t="str">
        <x:v>活力倍率2→3；伤害倍率3→4。</x:v>
      </x:c>
      <x:c r="H25" s="8" t="str">
        <x:v>无固定关键词</x:v>
      </x:c>
      <x:c r="I25" s="8" t="str">
        <x:v>切换引擎、敏捷格挡转化、力量活力多段</x:v>
      </x:c>
      <x:c r="J25" s="8" t="str">
        <x:v>Generator / Consumer / Payoff / Bridge</x:v>
      </x:c>
      <x:c r="K25" s="8" t="str">
        <x:v>数值</x:v>
      </x:c>
      <x:c r="L25" s="8" t="str">
        <x:v>普通奖励</x:v>
      </x:c>
      <x:c r="M25" s="8" t="str">
        <x:v>单人可用</x:v>
      </x:c>
      <x:c r="N25" s="8" t="str">
        <x:v>否</x:v>
      </x:c>
      <x:c r="O25" s="8" t="str">
        <x:v>敏捷投资可转换成攻击回报，并推进切换。</x:v>
      </x:c>
      <x:c r="P25" s="8" t="str">
        <x:v>是</x:v>
      </x:c>
      <x:c r="Q25" s="8" t="str">
        <x:v>是</x:v>
      </x:c>
      <x:c r="R25" s="8" t="str">
        <x:v>是</x:v>
      </x:c>
      <x:c r="S25" s="8" t="str">
        <x:v>否</x:v>
      </x:c>
      <x:c r="T25" s="8" t="str">
        <x:v>是</x:v>
      </x:c>
      <x:c r="U25" s="8" t="str">
        <x:v>否</x:v>
      </x:c>
      <x:c r="V25" s="8" t="str">
        <x:v>否</x:v>
      </x:c>
      <x:c r="W25" s="8" t="str">
        <x:v>https://github.com/FFTYYY/sts2-MzmChar-mod/blob/03dc9add4db955351e05bcfce06cf2889f25a695/src/Game/CharacterContent/Cards/DevourSelf.cs#L40</x:v>
      </x:c>
    </x:row>
    <x:row r="26" ht="48" customHeight="1">
      <x:c r="A26" s="13" t="str">
        <x:v>Disharmony</x:v>
      </x:c>
      <x:c r="B26" s="13" t="str">
        <x:v>不和谐音</x:v>
      </x:c>
      <x:c r="C26" s="13" t="n">
        <x:v>0</x:v>
      </x:c>
      <x:c r="D26" s="13" t="str">
        <x:v>Attack</x:v>
      </x:c>
      <x:c r="E26" s="13" t="str">
        <x:v>Ancient</x:v>
      </x:c>
      <x:c r="F26" s="13" t="str">
        <x:v>每次结算对全体造成0基础伤害×2；设置BaseReplayCount=2。</x:v>
      </x:c>
      <x:c r="G26" s="13" t="str">
        <x:v>每次结算追加1次0基础格挡。</x:v>
      </x:c>
      <x:c r="H26" s="13" t="str">
        <x:v>无固定关键词</x:v>
      </x:c>
      <x:c r="I26" s="13" t="str">
        <x:v>力量活力多段</x:v>
      </x:c>
      <x:c r="J26" s="13" t="str">
        <x:v>Consumer / Payoff</x:v>
      </x:c>
      <x:c r="K26" s="13" t="str">
        <x:v>功能</x:v>
      </x:c>
      <x:c r="L26" s="13" t="str">
        <x:v>先古特殊</x:v>
      </x:c>
      <x:c r="M26" s="13" t="str">
        <x:v>单人可用</x:v>
      </x:c>
      <x:c r="N26" s="13" t="str">
        <x:v>否</x:v>
      </x:c>
      <x:c r="O26" s="13" t="str">
        <x:v>由古老牙齿把睦头人出击转换得到；总重放行为需游戏运行验证，勿只读本地化。</x:v>
      </x:c>
      <x:c r="P26" s="13" t="str">
        <x:v>否</x:v>
      </x:c>
      <x:c r="Q26" s="13" t="str">
        <x:v>是</x:v>
      </x:c>
      <x:c r="R26" s="13" t="str">
        <x:v>是</x:v>
      </x:c>
      <x:c r="S26" s="13" t="str">
        <x:v>否</x:v>
      </x:c>
      <x:c r="T26" s="13" t="str">
        <x:v>否</x:v>
      </x:c>
      <x:c r="U26" s="13" t="str">
        <x:v>否</x:v>
      </x:c>
      <x:c r="V26" s="13" t="str">
        <x:v>否</x:v>
      </x:c>
      <x:c r="W26" s="13" t="str">
        <x:v>https://github.com/FFTYYY/sts2-MzmChar-mod/blob/03dc9add4db955351e05bcfce06cf2889f25a695/src/Game/CharacterContent/Cards/Disharmony.cs#L43</x:v>
      </x:c>
    </x:row>
    <x:row r="27" ht="48" customHeight="1">
      <x:c r="A27" s="8" t="str">
        <x:v>Disintegration</x:v>
      </x:c>
      <x:c r="B27" s="8" t="str">
        <x:v>人格解体</x:v>
      </x:c>
      <x:c r="C27" s="8" t="n">
        <x:v>1</x:v>
      </x:c>
      <x:c r="D27" s="8" t="str">
        <x:v>Power</x:v>
      </x:c>
      <x:c r="E27" s="8" t="str">
        <x:v>Rare</x:v>
      </x:c>
      <x:c r="F27" s="8" t="str">
        <x:v>每次实际切换，随机给本战斗1张尚无虚无的牌添加虚无。</x:v>
      </x:c>
      <x:c r="G27" s="8" t="str">
        <x:v>费用1→0。</x:v>
      </x:c>
      <x:c r="H27" s="8" t="str">
        <x:v>无固定关键词</x:v>
      </x:c>
      <x:c r="I27" s="8" t="str">
        <x:v>切换引擎、虚无压缩</x:v>
      </x:c>
      <x:c r="J27" s="8" t="str">
        <x:v>Enabler / Build-around / Bridge</x:v>
      </x:c>
      <x:c r="K27" s="8" t="str">
        <x:v>费用</x:v>
      </x:c>
      <x:c r="L27" s="8" t="str">
        <x:v>普通奖励</x:v>
      </x:c>
      <x:c r="M27" s="8" t="str">
        <x:v>单人可用</x:v>
      </x:c>
      <x:c r="N27" s="8" t="str">
        <x:v>否</x:v>
      </x:c>
      <x:c r="O27" s="8" t="str">
        <x:v>切换推进牌堆压缩；虚无不等于立即消耗，也可能移除关键牌。</x:v>
      </x:c>
      <x:c r="P27" s="8" t="str">
        <x:v>否</x:v>
      </x:c>
      <x:c r="Q27" s="8" t="str">
        <x:v>否</x:v>
      </x:c>
      <x:c r="R27" s="8" t="str">
        <x:v>否</x:v>
      </x:c>
      <x:c r="S27" s="8" t="str">
        <x:v>是</x:v>
      </x:c>
      <x:c r="T27" s="8" t="str">
        <x:v>是</x:v>
      </x:c>
      <x:c r="U27" s="8" t="str">
        <x:v>是</x:v>
      </x:c>
      <x:c r="V27" s="8" t="str">
        <x:v>否</x:v>
      </x:c>
      <x:c r="W27" s="8" t="str">
        <x:v>https://github.com/FFTYYY/sts2-MzmChar-mod/blob/03dc9add4db955351e05bcfce06cf2889f25a695/src/Game/CharacterContent/Cards/Disintegration.cs#L27</x:v>
      </x:c>
    </x:row>
    <x:row r="28" ht="48" customHeight="1">
      <x:c r="A28" s="13" t="str">
        <x:v>Distort</x:v>
      </x:c>
      <x:c r="B28" s="13" t="str">
        <x:v>扭曲</x:v>
      </x:c>
      <x:c r="C28" s="13" t="n">
        <x:v>0</x:v>
      </x:c>
      <x:c r="D28" s="13" t="str">
        <x:v>Skill</x:v>
      </x:c>
      <x:c r="E28" s="13" t="str">
        <x:v>Common</x:v>
      </x:c>
      <x:c r="F28" s="13" t="str">
        <x:v>睦：本回合失去2敏捷，获得1能量，进入墨；墨：随机敌人5伤害。</x:v>
      </x:c>
      <x:c r="G28" s="13" t="str">
        <x:v>敏捷损失2→1；伤害5→6。</x:v>
      </x:c>
      <x:c r="H28" s="13" t="str">
        <x:v>无固定关键词</x:v>
      </x:c>
      <x:c r="I28" s="13" t="str">
        <x:v>切换引擎</x:v>
      </x:c>
      <x:c r="J28" s="13" t="str">
        <x:v>Generator / Enabler / Utility</x:v>
      </x:c>
      <x:c r="K28" s="13" t="str">
        <x:v>数值</x:v>
      </x:c>
      <x:c r="L28" s="13" t="str">
        <x:v>普通奖励</x:v>
      </x:c>
      <x:c r="M28" s="13" t="str">
        <x:v>单人可用</x:v>
      </x:c>
      <x:c r="N28" s="13" t="str">
        <x:v>否</x:v>
      </x:c>
      <x:c r="O28" s="13" t="str">
        <x:v>以暂时防御代价换切换和能量。</x:v>
      </x:c>
      <x:c r="P28" s="13" t="str">
        <x:v>是</x:v>
      </x:c>
      <x:c r="Q28" s="13" t="str">
        <x:v>否</x:v>
      </x:c>
      <x:c r="R28" s="13" t="str">
        <x:v>否</x:v>
      </x:c>
      <x:c r="S28" s="13" t="str">
        <x:v>是</x:v>
      </x:c>
      <x:c r="T28" s="13" t="str">
        <x:v>否</x:v>
      </x:c>
      <x:c r="U28" s="13" t="str">
        <x:v>否</x:v>
      </x:c>
      <x:c r="V28" s="13" t="str">
        <x:v>是</x:v>
      </x:c>
      <x:c r="W28" s="13" t="str">
        <x:v>https://github.com/FFTYYY/sts2-MzmChar-mod/blob/03dc9add4db955351e05bcfce06cf2889f25a695/src/Game/CharacterContent/Cards/Distort.cs#L47</x:v>
      </x:c>
    </x:row>
    <x:row r="29" ht="48" customHeight="1">
      <x:c r="A29" s="8" t="str">
        <x:v>DollHeart</x:v>
      </x:c>
      <x:c r="B29" s="8" t="str">
        <x:v>人偶之心</x:v>
      </x:c>
      <x:c r="C29" s="8" t="n">
        <x:v>1</x:v>
      </x:c>
      <x:c r="D29" s="8" t="str">
        <x:v>Power</x:v>
      </x:c>
      <x:c r="E29" s="8" t="str">
        <x:v>Rare</x:v>
      </x:c>
      <x:c r="F29" s="8" t="str">
        <x:v>此后每打出1张能力牌，获得1力量。</x:v>
      </x:c>
      <x:c r="G29" s="8" t="str">
        <x:v>增加固有。</x:v>
      </x:c>
      <x:c r="H29" s="8" t="str">
        <x:v>无固定关键词</x:v>
      </x:c>
      <x:c r="I29" s="8" t="str">
        <x:v>力量活力多段</x:v>
      </x:c>
      <x:c r="J29" s="8" t="str">
        <x:v>Generator / Build-around</x:v>
      </x:c>
      <x:c r="K29" s="8" t="str">
        <x:v>功能</x:v>
      </x:c>
      <x:c r="L29" s="8" t="str">
        <x:v>普通奖励</x:v>
      </x:c>
      <x:c r="M29" s="8" t="str">
        <x:v>单人可用</x:v>
      </x:c>
      <x:c r="N29" s="8" t="str">
        <x:v>否</x:v>
      </x:c>
      <x:c r="O29" s="8" t="str">
        <x:v>安装能力的这张牌自身不触发新加的能力，Power显式跳过一次。</x:v>
      </x:c>
      <x:c r="P29" s="8" t="str">
        <x:v>是</x:v>
      </x:c>
      <x:c r="Q29" s="8" t="str">
        <x:v>否</x:v>
      </x:c>
      <x:c r="R29" s="8" t="str">
        <x:v>否</x:v>
      </x:c>
      <x:c r="S29" s="8" t="str">
        <x:v>否</x:v>
      </x:c>
      <x:c r="T29" s="8" t="str">
        <x:v>否</x:v>
      </x:c>
      <x:c r="U29" s="8" t="str">
        <x:v>是</x:v>
      </x:c>
      <x:c r="V29" s="8" t="str">
        <x:v>否</x:v>
      </x:c>
      <x:c r="W29" s="8" t="str">
        <x:v>https://github.com/FFTYYY/sts2-MzmChar-mod/blob/03dc9add4db955351e05bcfce06cf2889f25a695/src/Game/CharacterContent/Cards/DollHeart.cs#L27</x:v>
      </x:c>
    </x:row>
    <x:row r="30" ht="48" customHeight="1">
      <x:c r="A30" s="13" t="str">
        <x:v>DollWaltz</x:v>
      </x:c>
      <x:c r="B30" s="13" t="str">
        <x:v>人偶们的轮舞</x:v>
      </x:c>
      <x:c r="C30" s="13" t="str">
        <x:v>X</x:v>
      </x:c>
      <x:c r="D30" s="13" t="str">
        <x:v>Attack</x:v>
      </x:c>
      <x:c r="E30" s="13" t="str">
        <x:v>Rare</x:v>
      </x:c>
      <x:c r="F30" s="13" t="str">
        <x:v>X费；随机0基础伤害×floor(1.5X)，获得0基础格挡X次。</x:v>
      </x:c>
      <x:c r="G30" s="13" t="str">
        <x:v>攻击次数floor(1.5X)→2X。</x:v>
      </x:c>
      <x:c r="H30" s="13" t="str">
        <x:v>无固定关键词</x:v>
      </x:c>
      <x:c r="I30" s="13" t="str">
        <x:v>力量活力多段、敏捷格挡转化</x:v>
      </x:c>
      <x:c r="J30" s="13" t="str">
        <x:v>Consumer / Payoff / Build-around / Bridge</x:v>
      </x:c>
      <x:c r="K30" s="13" t="str">
        <x:v>数值</x:v>
      </x:c>
      <x:c r="L30" s="13" t="str">
        <x:v>普通奖励</x:v>
      </x:c>
      <x:c r="M30" s="13" t="str">
        <x:v>单人可用</x:v>
      </x:c>
      <x:c r="N30" s="13" t="str">
        <x:v>否</x:v>
      </x:c>
      <x:c r="O30" s="13" t="str">
        <x:v>通过多段伤害和多次格挡同时放大力量与敏捷。</x:v>
      </x:c>
      <x:c r="P30" s="13" t="str">
        <x:v>否</x:v>
      </x:c>
      <x:c r="Q30" s="13" t="str">
        <x:v>是</x:v>
      </x:c>
      <x:c r="R30" s="13" t="str">
        <x:v>是</x:v>
      </x:c>
      <x:c r="S30" s="13" t="str">
        <x:v>否</x:v>
      </x:c>
      <x:c r="T30" s="13" t="str">
        <x:v>是</x:v>
      </x:c>
      <x:c r="U30" s="13" t="str">
        <x:v>是</x:v>
      </x:c>
      <x:c r="V30" s="13" t="str">
        <x:v>否</x:v>
      </x:c>
      <x:c r="W30" s="13" t="str">
        <x:v>https://github.com/FFTYYY/sts2-MzmChar-mod/blob/03dc9add4db955351e05bcfce06cf2889f25a695/src/Game/CharacterContent/Cards/DollWaltz.cs#L46</x:v>
      </x:c>
    </x:row>
    <x:row r="31" ht="48" customHeight="1">
      <x:c r="A31" s="8" t="str">
        <x:v>Emptiness</x:v>
      </x:c>
      <x:c r="B31" s="8" t="str">
        <x:v>空洞</x:v>
      </x:c>
      <x:c r="C31" s="8" t="n">
        <x:v>2</x:v>
      </x:c>
      <x:c r="D31" s="8" t="str">
        <x:v>Skill</x:v>
      </x:c>
      <x:c r="E31" s="8" t="str">
        <x:v>Uncommon</x:v>
      </x:c>
      <x:c r="F31" s="8" t="str">
        <x:v>获得本回合(3+此牌本局累计打出次数)敏捷；打出后永久增加获得量1。【消耗】</x:v>
      </x:c>
      <x:c r="G31" s="8" t="str">
        <x:v>费用2→1。</x:v>
      </x:c>
      <x:c r="H31" s="8" t="str">
        <x:v>消耗</x:v>
      </x:c>
      <x:c r="I31" s="8" t="str">
        <x:v>敏捷格挡转化</x:v>
      </x:c>
      <x:c r="J31" s="8" t="str">
        <x:v>Generator / Build-around</x:v>
      </x:c>
      <x:c r="K31" s="8" t="str">
        <x:v>费用</x:v>
      </x:c>
      <x:c r="L31" s="8" t="str">
        <x:v>普通奖励</x:v>
      </x:c>
      <x:c r="M31" s="8" t="str">
        <x:v>单人可用</x:v>
      </x:c>
      <x:c r="N31" s="8" t="str">
        <x:v>否</x:v>
      </x:c>
      <x:c r="O31" s="8" t="str">
        <x:v>源码BaseDex=3；注释写4已过时；成长跨战斗保存。</x:v>
      </x:c>
      <x:c r="P31" s="8" t="str">
        <x:v>是</x:v>
      </x:c>
      <x:c r="Q31" s="8" t="str">
        <x:v>否</x:v>
      </x:c>
      <x:c r="R31" s="8" t="str">
        <x:v>否</x:v>
      </x:c>
      <x:c r="S31" s="8" t="str">
        <x:v>否</x:v>
      </x:c>
      <x:c r="T31" s="8" t="str">
        <x:v>否</x:v>
      </x:c>
      <x:c r="U31" s="8" t="str">
        <x:v>是</x:v>
      </x:c>
      <x:c r="V31" s="8" t="str">
        <x:v>否</x:v>
      </x:c>
      <x:c r="W31" s="8" t="str">
        <x:v>https://github.com/FFTYYY/sts2-MzmChar-mod/blob/03dc9add4db955351e05bcfce06cf2889f25a695/src/Game/CharacterContent/Cards/Emptiness.cs#L43</x:v>
      </x:c>
    </x:row>
    <x:row r="32" ht="48" customHeight="1">
      <x:c r="A32" s="13" t="str">
        <x:v>Encore</x:v>
      </x:c>
      <x:c r="B32" s="13" t="str">
        <x:v>安可</x:v>
      </x:c>
      <x:c r="C32" s="13" t="n">
        <x:v>1</x:v>
      </x:c>
      <x:c r="D32" s="13" t="str">
        <x:v>Power</x:v>
      </x:c>
      <x:c r="E32" s="13" t="str">
        <x:v>Uncommon</x:v>
      </x:c>
      <x:c r="F32" s="13" t="str">
        <x:v>演奏会回合结束获得1演艺热情；该能力总回补上限2。</x:v>
      </x:c>
      <x:c r="G32" s="13" t="str">
        <x:v>回补1→2，上限仍2。</x:v>
      </x:c>
      <x:c r="H32" s="13" t="str">
        <x:v>无固定关键词</x:v>
      </x:c>
      <x:c r="I32" s="13" t="str">
        <x:v>演奏会</x:v>
      </x:c>
      <x:c r="J32" s="13" t="str">
        <x:v>Generator / Payoff / Build-around</x:v>
      </x:c>
      <x:c r="K32" s="13" t="str">
        <x:v>数值</x:v>
      </x:c>
      <x:c r="L32" s="13" t="str">
        <x:v>普通奖励</x:v>
      </x:c>
      <x:c r="M32" s="13" t="str">
        <x:v>单人可用</x:v>
      </x:c>
      <x:c r="N32" s="13" t="str">
        <x:v>否</x:v>
      </x:c>
      <x:c r="O32" s="13" t="str">
        <x:v>多份安可不能无限提高回补量。</x:v>
      </x:c>
      <x:c r="P32" s="13" t="str">
        <x:v>是</x:v>
      </x:c>
      <x:c r="Q32" s="13" t="str">
        <x:v>否</x:v>
      </x:c>
      <x:c r="R32" s="13" t="str">
        <x:v>是</x:v>
      </x:c>
      <x:c r="S32" s="13" t="str">
        <x:v>否</x:v>
      </x:c>
      <x:c r="T32" s="13" t="str">
        <x:v>否</x:v>
      </x:c>
      <x:c r="U32" s="13" t="str">
        <x:v>是</x:v>
      </x:c>
      <x:c r="V32" s="13" t="str">
        <x:v>否</x:v>
      </x:c>
      <x:c r="W32" s="13" t="str">
        <x:v>https://github.com/FFTYYY/sts2-MzmChar-mod/blob/03dc9add4db955351e05bcfce06cf2889f25a695/src/Game/CharacterContent/Cards/Encore.cs#L40</x:v>
      </x:c>
    </x:row>
    <x:row r="33" ht="48" customHeight="1">
      <x:c r="A33" s="8" t="str">
        <x:v>Ensemble</x:v>
      </x:c>
      <x:c r="B33" s="8" t="str">
        <x:v>合奏</x:v>
      </x:c>
      <x:c r="C33" s="8" t="n">
        <x:v>1</x:v>
      </x:c>
      <x:c r="D33" s="8" t="str">
        <x:v>Skill</x:v>
      </x:c>
      <x:c r="E33" s="8" t="str">
        <x:v>Uncommon</x:v>
      </x:c>
      <x:c r="F33" s="8" t="str">
        <x:v>所有其他存活玩家进入睦，各向抽牌堆随机位置加入(1+此牌本战斗先前打出次数)张随机不同演奏牌。</x:v>
      </x:c>
      <x:c r="G33" s="8" t="str">
        <x:v>初始生成数1→2。</x:v>
      </x:c>
      <x:c r="H33" s="8" t="str">
        <x:v>无固定关键词</x:v>
      </x:c>
      <x:c r="I33" s="8" t="str">
        <x:v>演奏会、生成协作、切换引擎</x:v>
      </x:c>
      <x:c r="J33" s="8" t="str">
        <x:v>Generator / Enabler / Bridge</x:v>
      </x:c>
      <x:c r="K33" s="8" t="str">
        <x:v>数值</x:v>
      </x:c>
      <x:c r="L33" s="8" t="str">
        <x:v>普通奖励</x:v>
      </x:c>
      <x:c r="M33" s="8" t="str">
        <x:v>仅多人</x:v>
      </x:c>
      <x:c r="N33" s="8" t="str">
        <x:v>否</x:v>
      </x:c>
      <x:c r="O33" s="8" t="str">
        <x:v>多人协作连接演奏、生成和切换；单次不同模板，无足够候选则少生成。</x:v>
      </x:c>
      <x:c r="P33" s="8" t="str">
        <x:v>是</x:v>
      </x:c>
      <x:c r="Q33" s="8" t="str">
        <x:v>否</x:v>
      </x:c>
      <x:c r="R33" s="8" t="str">
        <x:v>否</x:v>
      </x:c>
      <x:c r="S33" s="8" t="str">
        <x:v>是</x:v>
      </x:c>
      <x:c r="T33" s="8" t="str">
        <x:v>是</x:v>
      </x:c>
      <x:c r="U33" s="8" t="str">
        <x:v>否</x:v>
      </x:c>
      <x:c r="V33" s="8" t="str">
        <x:v>否</x:v>
      </x:c>
      <x:c r="W33" s="8" t="str">
        <x:v>https://github.com/FFTYYY/sts2-MzmChar-mod/blob/03dc9add4db955351e05bcfce06cf2889f25a695/src/Game/CharacterContent/Cards/Ensemble.cs#L69</x:v>
      </x:c>
    </x:row>
    <x:row r="34" ht="48" customHeight="1">
      <x:c r="A34" s="13" t="str">
        <x:v>Escape</x:v>
      </x:c>
      <x:c r="B34" s="13" t="str">
        <x:v>逃离</x:v>
      </x:c>
      <x:c r="C34" s="13" t="n">
        <x:v>0</x:v>
      </x:c>
      <x:c r="D34" s="13" t="str">
        <x:v>Skill</x:v>
      </x:c>
      <x:c r="E34" s="13" t="str">
        <x:v>Common</x:v>
      </x:c>
      <x:c r="F34" s="13" t="str">
        <x:v>获得本回合3敏捷；进入睦。</x:v>
      </x:c>
      <x:c r="G34" s="13" t="str">
        <x:v>敏捷3→5。</x:v>
      </x:c>
      <x:c r="H34" s="13" t="str">
        <x:v>无固定关键词</x:v>
      </x:c>
      <x:c r="I34" s="13" t="str">
        <x:v>切换引擎、敏捷格挡转化</x:v>
      </x:c>
      <x:c r="J34" s="13" t="str">
        <x:v>Generator / Enabler / Bridge</x:v>
      </x:c>
      <x:c r="K34" s="13" t="str">
        <x:v>数值</x:v>
      </x:c>
      <x:c r="L34" s="13" t="str">
        <x:v>普通奖励</x:v>
      </x:c>
      <x:c r="M34" s="13" t="str">
        <x:v>单人可用</x:v>
      </x:c>
      <x:c r="N34" s="13" t="str">
        <x:v>否</x:v>
      </x:c>
      <x:c r="O34" s="13" t="str">
        <x:v>切换行动同时准备防御属性。</x:v>
      </x:c>
      <x:c r="P34" s="13" t="str">
        <x:v>是</x:v>
      </x:c>
      <x:c r="Q34" s="13" t="str">
        <x:v>否</x:v>
      </x:c>
      <x:c r="R34" s="13" t="str">
        <x:v>否</x:v>
      </x:c>
      <x:c r="S34" s="13" t="str">
        <x:v>是</x:v>
      </x:c>
      <x:c r="T34" s="13" t="str">
        <x:v>是</x:v>
      </x:c>
      <x:c r="U34" s="13" t="str">
        <x:v>否</x:v>
      </x:c>
      <x:c r="V34" s="13" t="str">
        <x:v>否</x:v>
      </x:c>
      <x:c r="W34" s="13" t="str">
        <x:v>https://github.com/FFTYYY/sts2-MzmChar-mod/blob/03dc9add4db955351e05bcfce06cf2889f25a695/src/Game/CharacterContent/Cards/Escape.cs#L40</x:v>
      </x:c>
    </x:row>
    <x:row r="35" ht="48" customHeight="1">
      <x:c r="A35" s="8" t="str">
        <x:v>FallIntoAbyss</x:v>
      </x:c>
      <x:c r="B35" s="8" t="str">
        <x:v>坠入深渊</x:v>
      </x:c>
      <x:c r="C35" s="8" t="n">
        <x:v>0</x:v>
      </x:c>
      <x:c r="D35" s="8" t="str">
        <x:v>Power</x:v>
      </x:c>
      <x:c r="E35" s="8" t="str">
        <x:v>Rare</x:v>
      </x:c>
      <x:c r="F35" s="8" t="str">
        <x:v>抽2，获得2能量、12活力；本战斗禁止再进入睦。</x:v>
      </x:c>
      <x:c r="G35" s="8" t="str">
        <x:v>抽2→3；活力12→20。</x:v>
      </x:c>
      <x:c r="H35" s="8" t="str">
        <x:v>无固定关键词</x:v>
      </x:c>
      <x:c r="I35" s="8" t="str">
        <x:v>力量活力多段</x:v>
      </x:c>
      <x:c r="J35" s="8" t="str">
        <x:v>Generator / Enabler / Build-around</x:v>
      </x:c>
      <x:c r="K35" s="8" t="str">
        <x:v>数值</x:v>
      </x:c>
      <x:c r="L35" s="8" t="str">
        <x:v>普通奖励</x:v>
      </x:c>
      <x:c r="M35" s="8" t="str">
        <x:v>单人可用</x:v>
      </x:c>
      <x:c r="N35" s="8" t="str">
        <x:v>否</x:v>
      </x:c>
      <x:c r="O35" s="8" t="str">
        <x:v>打出时不会自动进入墨；从睦打出仍需另行转入墨；封锁切换流。</x:v>
      </x:c>
      <x:c r="P35" s="8" t="str">
        <x:v>是</x:v>
      </x:c>
      <x:c r="Q35" s="8" t="str">
        <x:v>否</x:v>
      </x:c>
      <x:c r="R35" s="8" t="str">
        <x:v>否</x:v>
      </x:c>
      <x:c r="S35" s="8" t="str">
        <x:v>是</x:v>
      </x:c>
      <x:c r="T35" s="8" t="str">
        <x:v>否</x:v>
      </x:c>
      <x:c r="U35" s="8" t="str">
        <x:v>是</x:v>
      </x:c>
      <x:c r="V35" s="8" t="str">
        <x:v>否</x:v>
      </x:c>
      <x:c r="W35" s="8" t="str">
        <x:v>https://github.com/FFTYYY/sts2-MzmChar-mod/blob/03dc9add4db955351e05bcfce06cf2889f25a695/src/Game/CharacterContent/Cards/FallIntoAbyss.cs#L42</x:v>
      </x:c>
    </x:row>
    <x:row r="36" ht="48" customHeight="1">
      <x:c r="A36" s="13" t="str">
        <x:v>FearlessOfDeath</x:v>
      </x:c>
      <x:c r="B36" s="13" t="str">
        <x:v>无惧死亡</x:v>
      </x:c>
      <x:c r="C36" s="13" t="n">
        <x:v>2</x:v>
      </x:c>
      <x:c r="D36" s="13" t="str">
        <x:v>Power</x:v>
      </x:c>
      <x:c r="E36" s="13" t="str">
        <x:v>Uncommon</x:v>
      </x:c>
      <x:c r="F36" s="13" t="str">
        <x:v>本战斗下一次死亡时以1生命复活。</x:v>
      </x:c>
      <x:c r="G36" s="13" t="str">
        <x:v>复活生命1→20。</x:v>
      </x:c>
      <x:c r="H36" s="13" t="str">
        <x:v>无固定关键词</x:v>
      </x:c>
      <x:c r="I36" s="13" t="str">
        <x:v>泛用</x:v>
      </x:c>
      <x:c r="J36" s="13" t="str">
        <x:v>Utility</x:v>
      </x:c>
      <x:c r="K36" s="13" t="str">
        <x:v>数值</x:v>
      </x:c>
      <x:c r="L36" s="13" t="str">
        <x:v>普通奖励</x:v>
      </x:c>
      <x:c r="M36" s="13" t="str">
        <x:v>单人可用</x:v>
      </x:c>
      <x:c r="N36" s="13" t="str">
        <x:v>是</x:v>
      </x:c>
      <x:c r="O36" s="13" t="str">
        <x:v>一次性死亡保护；未在游戏中验证时序。</x:v>
      </x:c>
      <x:c r="P36" s="13" t="str">
        <x:v>否</x:v>
      </x:c>
      <x:c r="Q36" s="13" t="str">
        <x:v>否</x:v>
      </x:c>
      <x:c r="R36" s="13" t="str">
        <x:v>否</x:v>
      </x:c>
      <x:c r="S36" s="13" t="str">
        <x:v>否</x:v>
      </x:c>
      <x:c r="T36" s="13" t="str">
        <x:v>否</x:v>
      </x:c>
      <x:c r="U36" s="13" t="str">
        <x:v>否</x:v>
      </x:c>
      <x:c r="V36" s="13" t="str">
        <x:v>是</x:v>
      </x:c>
      <x:c r="W36" s="13" t="str">
        <x:v>https://github.com/FFTYYY/sts2-MzmChar-mod/blob/03dc9add4db955351e05bcfce06cf2889f25a695/src/Game/CharacterContent/Cards/FearlessOfDeath.cs#L34</x:v>
      </x:c>
    </x:row>
    <x:row r="37" ht="48" customHeight="1">
      <x:c r="A37" s="8" t="str">
        <x:v>FightForBody</x:v>
      </x:c>
      <x:c r="B37" s="8" t="str">
        <x:v>争夺身体</x:v>
      </x:c>
      <x:c r="C37" s="8" t="n">
        <x:v>2</x:v>
      </x:c>
      <x:c r="D37" s="8" t="str">
        <x:v>Attack</x:v>
      </x:c>
      <x:c r="E37" s="8" t="str">
        <x:v>Uncommon</x:v>
      </x:c>
      <x:c r="F37" s="8" t="str">
        <x:v>按本回合非起手抽牌数N：睦获得4N格挡并进入墨；墨造成5N伤害并进入睦。</x:v>
      </x:c>
      <x:c r="G37" s="8" t="str">
        <x:v>费用2→1。</x:v>
      </x:c>
      <x:c r="H37" s="8" t="str">
        <x:v>无固定关键词</x:v>
      </x:c>
      <x:c r="I37" s="8" t="str">
        <x:v>切换引擎、敏捷格挡转化</x:v>
      </x:c>
      <x:c r="J37" s="8" t="str">
        <x:v>Payoff / Bridge</x:v>
      </x:c>
      <x:c r="K37" s="8" t="str">
        <x:v>费用</x:v>
      </x:c>
      <x:c r="L37" s="8" t="str">
        <x:v>普通奖励</x:v>
      </x:c>
      <x:c r="M37" s="8" t="str">
        <x:v>单人可用</x:v>
      </x:c>
      <x:c r="N37" s="8" t="str">
        <x:v>否</x:v>
      </x:c>
      <x:c r="O37" s="8" t="str">
        <x:v>额外抽牌历史连接防御兑现和切换；N不含正常回合抽牌。</x:v>
      </x:c>
      <x:c r="P37" s="8" t="str">
        <x:v>否</x:v>
      </x:c>
      <x:c r="Q37" s="8" t="str">
        <x:v>否</x:v>
      </x:c>
      <x:c r="R37" s="8" t="str">
        <x:v>是</x:v>
      </x:c>
      <x:c r="S37" s="8" t="str">
        <x:v>否</x:v>
      </x:c>
      <x:c r="T37" s="8" t="str">
        <x:v>是</x:v>
      </x:c>
      <x:c r="U37" s="8" t="str">
        <x:v>否</x:v>
      </x:c>
      <x:c r="V37" s="8" t="str">
        <x:v>否</x:v>
      </x:c>
      <x:c r="W37" s="8" t="str">
        <x:v>https://github.com/FFTYYY/sts2-MzmChar-mod/blob/03dc9add4db955351e05bcfce06cf2889f25a695/src/Game/CharacterContent/Cards/FightForBody.cs#L39</x:v>
      </x:c>
    </x:row>
    <x:row r="38" ht="48" customHeight="1">
      <x:c r="A38" s="13" t="str">
        <x:v>FrontPersona</x:v>
      </x:c>
      <x:c r="B38" s="13" t="str">
        <x:v>表人格</x:v>
      </x:c>
      <x:c r="C38" s="13" t="n">
        <x:v>0</x:v>
      </x:c>
      <x:c r="D38" s="13" t="str">
        <x:v>Skill</x:v>
      </x:c>
      <x:c r="E38" s="13" t="str">
        <x:v>Token</x:v>
      </x:c>
      <x:c r="F38" s="13" t="str">
        <x:v>进入睦；获得1能量。【保留】</x:v>
      </x:c>
      <x:c r="G38" s="13" t="str">
        <x:v>额外获得4活力。</x:v>
      </x:c>
      <x:c r="H38" s="13" t="str">
        <x:v>保留</x:v>
      </x:c>
      <x:c r="I38" s="13" t="str">
        <x:v>切换引擎</x:v>
      </x:c>
      <x:c r="J38" s="13" t="str">
        <x:v>Generator / Enabler</x:v>
      </x:c>
      <x:c r="K38" s="13" t="str">
        <x:v>功能</x:v>
      </x:c>
      <x:c r="L38" s="13" t="str">
        <x:v>生成牌</x:v>
      </x:c>
      <x:c r="M38" s="13" t="str">
        <x:v>单人可用</x:v>
      </x:c>
      <x:c r="N38" s="13" t="str">
        <x:v>否</x:v>
      </x:c>
      <x:c r="O38" s="13" t="str">
        <x:v>升级新增攻击铺垫；初始遗物生成，基础版不计Bridge。</x:v>
      </x:c>
      <x:c r="P38" s="13" t="str">
        <x:v>是</x:v>
      </x:c>
      <x:c r="Q38" s="13" t="str">
        <x:v>否</x:v>
      </x:c>
      <x:c r="R38" s="13" t="str">
        <x:v>否</x:v>
      </x:c>
      <x:c r="S38" s="13" t="str">
        <x:v>是</x:v>
      </x:c>
      <x:c r="T38" s="13" t="str">
        <x:v>否</x:v>
      </x:c>
      <x:c r="U38" s="13" t="str">
        <x:v>否</x:v>
      </x:c>
      <x:c r="V38" s="13" t="str">
        <x:v>否</x:v>
      </x:c>
      <x:c r="W38" s="13" t="str">
        <x:v>https://github.com/FFTYYY/sts2-MzmChar-mod/blob/03dc9add4db955351e05bcfce06cf2889f25a695/src/Game/CharacterContent/Cards/FrontPersona.cs#L48</x:v>
      </x:c>
    </x:row>
    <x:row r="39" ht="48" customHeight="1">
      <x:c r="A39" s="8" t="str">
        <x:v>FunnyFace</x:v>
      </x:c>
      <x:c r="B39" s="8" t="str">
        <x:v>做鬼脸</x:v>
      </x:c>
      <x:c r="C39" s="8" t="n">
        <x:v>0</x:v>
      </x:c>
      <x:c r="D39" s="8" t="str">
        <x:v>Attack</x:v>
      </x:c>
      <x:c r="E39" s="8" t="str">
        <x:v>Common</x:v>
      </x:c>
      <x:c r="F39" s="8" t="str">
        <x:v>造成7伤害；进入墨。</x:v>
      </x:c>
      <x:c r="G39" s="8" t="str">
        <x:v>伤害7→10。</x:v>
      </x:c>
      <x:c r="H39" s="8" t="str">
        <x:v>无固定关键词</x:v>
      </x:c>
      <x:c r="I39" s="8" t="str">
        <x:v>切换引擎</x:v>
      </x:c>
      <x:c r="J39" s="8" t="str">
        <x:v>Enabler / Utility</x:v>
      </x:c>
      <x:c r="K39" s="8" t="str">
        <x:v>数值</x:v>
      </x:c>
      <x:c r="L39" s="8" t="str">
        <x:v>普通奖励</x:v>
      </x:c>
      <x:c r="M39" s="8" t="str">
        <x:v>单人可用</x:v>
      </x:c>
      <x:c r="N39" s="8" t="str">
        <x:v>否</x:v>
      </x:c>
      <x:c r="O39" s="8" t="str">
        <x:v>已经是墨时不发生实际切换。</x:v>
      </x:c>
      <x:c r="P39" s="8" t="str">
        <x:v>否</x:v>
      </x:c>
      <x:c r="Q39" s="8" t="str">
        <x:v>否</x:v>
      </x:c>
      <x:c r="R39" s="8" t="str">
        <x:v>否</x:v>
      </x:c>
      <x:c r="S39" s="8" t="str">
        <x:v>是</x:v>
      </x:c>
      <x:c r="T39" s="8" t="str">
        <x:v>否</x:v>
      </x:c>
      <x:c r="U39" s="8" t="str">
        <x:v>否</x:v>
      </x:c>
      <x:c r="V39" s="8" t="str">
        <x:v>是</x:v>
      </x:c>
      <x:c r="W39" s="8" t="str">
        <x:v>https://github.com/FFTYYY/sts2-MzmChar-mod/blob/03dc9add4db955351e05bcfce06cf2889f25a695/src/Game/CharacterContent/Cards/FunnyFace.cs#L36</x:v>
      </x:c>
    </x:row>
    <x:row r="40" ht="48" customHeight="1">
      <x:c r="A40" s="13" t="str">
        <x:v>GhostScream</x:v>
      </x:c>
      <x:c r="B40" s="13" t="str">
        <x:v>鬼叫</x:v>
      </x:c>
      <x:c r="C40" s="13" t="n">
        <x:v>2</x:v>
      </x:c>
      <x:c r="D40" s="13" t="str">
        <x:v>Attack</x:v>
      </x:c>
      <x:c r="E40" s="13" t="str">
        <x:v>Uncommon</x:v>
      </x:c>
      <x:c r="F40" s="13" t="str">
        <x:v>睦：每已有4活力再获得2活力；墨：12伤害并施加2虚弱。</x:v>
      </x:c>
      <x:c r="G40" s="13" t="str">
        <x:v>费用2→1。</x:v>
      </x:c>
      <x:c r="H40" s="13" t="str">
        <x:v>无固定关键词</x:v>
      </x:c>
      <x:c r="I40" s="13" t="str">
        <x:v>力量活力多段</x:v>
      </x:c>
      <x:c r="J40" s="13" t="str">
        <x:v>Generator / Payoff / Utility</x:v>
      </x:c>
      <x:c r="K40" s="13" t="str">
        <x:v>费用</x:v>
      </x:c>
      <x:c r="L40" s="13" t="str">
        <x:v>普通奖励</x:v>
      </x:c>
      <x:c r="M40" s="13" t="str">
        <x:v>单人可用</x:v>
      </x:c>
      <x:c r="N40" s="13" t="str">
        <x:v>否</x:v>
      </x:c>
      <x:c r="O40" s="13" t="str">
        <x:v>睦增量为floor(活力/4)×2，0活力不会凭空起动。</x:v>
      </x:c>
      <x:c r="P40" s="13" t="str">
        <x:v>是</x:v>
      </x:c>
      <x:c r="Q40" s="13" t="str">
        <x:v>否</x:v>
      </x:c>
      <x:c r="R40" s="13" t="str">
        <x:v>是</x:v>
      </x:c>
      <x:c r="S40" s="13" t="str">
        <x:v>否</x:v>
      </x:c>
      <x:c r="T40" s="13" t="str">
        <x:v>否</x:v>
      </x:c>
      <x:c r="U40" s="13" t="str">
        <x:v>否</x:v>
      </x:c>
      <x:c r="V40" s="13" t="str">
        <x:v>是</x:v>
      </x:c>
      <x:c r="W40" s="13" t="str">
        <x:v>https://github.com/FFTYYY/sts2-MzmChar-mod/blob/03dc9add4db955351e05bcfce06cf2889f25a695/src/Game/CharacterContent/Cards/GhostScream.cs#L29</x:v>
      </x:c>
    </x:row>
    <x:row r="41" ht="48" customHeight="1">
      <x:c r="A41" s="8" t="str">
        <x:v>GreenhouseGirl</x:v>
      </x:c>
      <x:c r="B41" s="8" t="str">
        <x:v>温室少女</x:v>
      </x:c>
      <x:c r="C41" s="8" t="n">
        <x:v>1</x:v>
      </x:c>
      <x:c r="D41" s="8" t="str">
        <x:v>Skill</x:v>
      </x:c>
      <x:c r="E41" s="8" t="str">
        <x:v>Uncommon</x:v>
      </x:c>
      <x:c r="F41" s="8" t="str">
        <x:v>睦：8格挡；墨：从弃牌堆选择至多2张消耗。</x:v>
      </x:c>
      <x:c r="G41" s="8" t="str">
        <x:v>格挡8→10；最多消耗2→3张。</x:v>
      </x:c>
      <x:c r="H41" s="8" t="str">
        <x:v>无固定关键词</x:v>
      </x:c>
      <x:c r="I41" s="8" t="str">
        <x:v>虚无压缩</x:v>
      </x:c>
      <x:c r="J41" s="8" t="str">
        <x:v>Enabler / Utility</x:v>
      </x:c>
      <x:c r="K41" s="8" t="str">
        <x:v>数值</x:v>
      </x:c>
      <x:c r="L41" s="8" t="str">
        <x:v>普通奖励</x:v>
      </x:c>
      <x:c r="M41" s="8" t="str">
        <x:v>单人可用</x:v>
      </x:c>
      <x:c r="N41" s="8" t="str">
        <x:v>否</x:v>
      </x:c>
      <x:c r="O41" s="8" t="str">
        <x:v>有选择的牌堆压缩，普通格挡提供兜底用途。</x:v>
      </x:c>
      <x:c r="P41" s="8" t="str">
        <x:v>否</x:v>
      </x:c>
      <x:c r="Q41" s="8" t="str">
        <x:v>否</x:v>
      </x:c>
      <x:c r="R41" s="8" t="str">
        <x:v>否</x:v>
      </x:c>
      <x:c r="S41" s="8" t="str">
        <x:v>是</x:v>
      </x:c>
      <x:c r="T41" s="8" t="str">
        <x:v>否</x:v>
      </x:c>
      <x:c r="U41" s="8" t="str">
        <x:v>否</x:v>
      </x:c>
      <x:c r="V41" s="8" t="str">
        <x:v>是</x:v>
      </x:c>
      <x:c r="W41" s="8" t="str">
        <x:v>https://github.com/FFTYYY/sts2-MzmChar-mod/blob/03dc9add4db955351e05bcfce06cf2889f25a695/src/Game/CharacterContent/Cards/GreenhouseGirl.cs#L34</x:v>
      </x:c>
    </x:row>
    <x:row r="42" ht="48" customHeight="1">
      <x:c r="A42" s="13" t="str">
        <x:v>GuitarSmash</x:v>
      </x:c>
      <x:c r="B42" s="13" t="str">
        <x:v>吉他打击</x:v>
      </x:c>
      <x:c r="C42" s="13" t="n">
        <x:v>2</x:v>
      </x:c>
      <x:c r="D42" s="13" t="str">
        <x:v>Attack</x:v>
      </x:c>
      <x:c r="E42" s="13" t="str">
        <x:v>Common</x:v>
      </x:c>
      <x:c r="F42" s="13" t="str">
        <x:v>睦：目标2易伤，本回合4力量；墨：12伤害后抽2。</x:v>
      </x:c>
      <x:c r="G42" s="13" t="str">
        <x:v>费用2→1。</x:v>
      </x:c>
      <x:c r="H42" s="13" t="str">
        <x:v>无固定关键词</x:v>
      </x:c>
      <x:c r="I42" s="13" t="str">
        <x:v>力量活力多段</x:v>
      </x:c>
      <x:c r="J42" s="13" t="str">
        <x:v>Generator / Enabler / Utility</x:v>
      </x:c>
      <x:c r="K42" s="13" t="str">
        <x:v>费用</x:v>
      </x:c>
      <x:c r="L42" s="13" t="str">
        <x:v>普通奖励</x:v>
      </x:c>
      <x:c r="M42" s="13" t="str">
        <x:v>单人可用</x:v>
      </x:c>
      <x:c r="N42" s="13" t="str">
        <x:v>否</x:v>
      </x:c>
      <x:c r="O42" s="13" t="str">
        <x:v>攻击投资与过牌在同卡两种形态中分工。</x:v>
      </x:c>
      <x:c r="P42" s="13" t="str">
        <x:v>是</x:v>
      </x:c>
      <x:c r="Q42" s="13" t="str">
        <x:v>否</x:v>
      </x:c>
      <x:c r="R42" s="13" t="str">
        <x:v>否</x:v>
      </x:c>
      <x:c r="S42" s="13" t="str">
        <x:v>是</x:v>
      </x:c>
      <x:c r="T42" s="13" t="str">
        <x:v>否</x:v>
      </x:c>
      <x:c r="U42" s="13" t="str">
        <x:v>否</x:v>
      </x:c>
      <x:c r="V42" s="13" t="str">
        <x:v>是</x:v>
      </x:c>
      <x:c r="W42" s="13" t="str">
        <x:v>https://github.com/FFTYYY/sts2-MzmChar-mod/blob/03dc9add4db955351e05bcfce06cf2889f25a695/src/Game/CharacterContent/Cards/GuitarSmash.cs#L52</x:v>
      </x:c>
    </x:row>
    <x:row r="43" ht="48" customHeight="1">
      <x:c r="A43" s="8" t="str">
        <x:v>Harmony</x:v>
      </x:c>
      <x:c r="B43" s="8" t="str">
        <x:v>和声</x:v>
      </x:c>
      <x:c r="C43" s="8" t="n">
        <x:v>1</x:v>
      </x:c>
      <x:c r="D43" s="8" t="str">
        <x:v>Attack</x:v>
      </x:c>
      <x:c r="E43" s="8" t="str">
        <x:v>Common</x:v>
      </x:c>
      <x:c r="F43" s="8" t="str">
        <x:v>先抽1。睦：8格挡；墨：8伤害。</x:v>
      </x:c>
      <x:c r="G43" s="8" t="str">
        <x:v>格挡8→11；伤害8→9；墨额外再抽1。</x:v>
      </x:c>
      <x:c r="H43" s="8" t="str">
        <x:v>无固定关键词</x:v>
      </x:c>
      <x:c r="I43" s="8" t="str">
        <x:v>泛用</x:v>
      </x:c>
      <x:c r="J43" s="8" t="str">
        <x:v>Utility</x:v>
      </x:c>
      <x:c r="K43" s="8" t="str">
        <x:v>混合</x:v>
      </x:c>
      <x:c r="L43" s="8" t="str">
        <x:v>普通奖励</x:v>
      </x:c>
      <x:c r="M43" s="8" t="str">
        <x:v>单人可用</x:v>
      </x:c>
      <x:c r="N43" s="8" t="str">
        <x:v>是</x:v>
      </x:c>
      <x:c r="O43" s="8" t="str">
        <x:v>无专属资源依赖，按纯Utility统计。</x:v>
      </x:c>
      <x:c r="P43" s="8" t="str">
        <x:v>否</x:v>
      </x:c>
      <x:c r="Q43" s="8" t="str">
        <x:v>否</x:v>
      </x:c>
      <x:c r="R43" s="8" t="str">
        <x:v>否</x:v>
      </x:c>
      <x:c r="S43" s="8" t="str">
        <x:v>否</x:v>
      </x:c>
      <x:c r="T43" s="8" t="str">
        <x:v>否</x:v>
      </x:c>
      <x:c r="U43" s="8" t="str">
        <x:v>否</x:v>
      </x:c>
      <x:c r="V43" s="8" t="str">
        <x:v>是</x:v>
      </x:c>
      <x:c r="W43" s="8" t="str">
        <x:v>https://github.com/FFTYYY/sts2-MzmChar-mod/blob/03dc9add4db955351e05bcfce06cf2889f25a695/src/Game/CharacterContent/Cards/Harmony.cs#L33</x:v>
      </x:c>
    </x:row>
    <x:row r="44" ht="48" customHeight="1">
      <x:c r="A44" s="13" t="str">
        <x:v>HeartResonance</x:v>
      </x:c>
      <x:c r="B44" s="13" t="str">
        <x:v>心灵共鸣</x:v>
      </x:c>
      <x:c r="C44" s="13" t="n">
        <x:v>2</x:v>
      </x:c>
      <x:c r="D44" s="13" t="str">
        <x:v>Skill</x:v>
      </x:c>
      <x:c r="E44" s="13" t="str">
        <x:v>Rare</x:v>
      </x:c>
      <x:c r="F44" s="13" t="str">
        <x:v>所有存活玩家进入睦；各在手牌、抽牌堆、弃牌堆生成1张随机角色牌，第一次打出0费。【消耗】</x:v>
      </x:c>
      <x:c r="G44" s="13" t="str">
        <x:v>费用2→1。</x:v>
      </x:c>
      <x:c r="H44" s="13" t="str">
        <x:v>消耗</x:v>
      </x:c>
      <x:c r="I44" s="13" t="str">
        <x:v>生成协作、切换引擎</x:v>
      </x:c>
      <x:c r="J44" s="13" t="str">
        <x:v>Generator / Enabler / Bridge</x:v>
      </x:c>
      <x:c r="K44" s="13" t="str">
        <x:v>费用</x:v>
      </x:c>
      <x:c r="L44" s="13" t="str">
        <x:v>普通奖励</x:v>
      </x:c>
      <x:c r="M44" s="13" t="str">
        <x:v>仅多人</x:v>
      </x:c>
      <x:c r="N44" s="13" t="str">
        <x:v>否</x:v>
      </x:c>
      <x:c r="O44" s="13" t="str">
        <x:v>源码限制仅多人；包含自己；生成排除禁止生成及模式不符的牌。</x:v>
      </x:c>
      <x:c r="P44" s="13" t="str">
        <x:v>是</x:v>
      </x:c>
      <x:c r="Q44" s="13" t="str">
        <x:v>否</x:v>
      </x:c>
      <x:c r="R44" s="13" t="str">
        <x:v>否</x:v>
      </x:c>
      <x:c r="S44" s="13" t="str">
        <x:v>是</x:v>
      </x:c>
      <x:c r="T44" s="13" t="str">
        <x:v>是</x:v>
      </x:c>
      <x:c r="U44" s="13" t="str">
        <x:v>否</x:v>
      </x:c>
      <x:c r="V44" s="13" t="str">
        <x:v>否</x:v>
      </x:c>
      <x:c r="W44" s="13" t="str">
        <x:v>https://github.com/FFTYYY/sts2-MzmChar-mod/blob/03dc9add4db955351e05bcfce06cf2889f25a695/src/Game/CharacterContent/Cards/HeartResonance.cs#L49</x:v>
      </x:c>
    </x:row>
    <x:row r="45" ht="48" customHeight="1">
      <x:c r="A45" s="8" t="str">
        <x:v>HideHeart</x:v>
      </x:c>
      <x:c r="B45" s="8" t="str">
        <x:v>收起真心</x:v>
      </x:c>
      <x:c r="C45" s="8" t="n">
        <x:v>1</x:v>
      </x:c>
      <x:c r="D45" s="8" t="str">
        <x:v>Skill</x:v>
      </x:c>
      <x:c r="E45" s="8" t="str">
        <x:v>Uncommon</x:v>
      </x:c>
      <x:c r="F45" s="8" t="str">
        <x:v>下回合获得2能量。睦：5格挡；墨：进入睦。</x:v>
      </x:c>
      <x:c r="G45" s="8" t="str">
        <x:v>下回合能量2→3；格挡5→7。</x:v>
      </x:c>
      <x:c r="H45" s="8" t="str">
        <x:v>无固定关键词</x:v>
      </x:c>
      <x:c r="I45" s="8" t="str">
        <x:v>切换引擎</x:v>
      </x:c>
      <x:c r="J45" s="8" t="str">
        <x:v>Generator / Enabler / Utility</x:v>
      </x:c>
      <x:c r="K45" s="8" t="str">
        <x:v>数值</x:v>
      </x:c>
      <x:c r="L45" s="8" t="str">
        <x:v>普通奖励</x:v>
      </x:c>
      <x:c r="M45" s="8" t="str">
        <x:v>单人可用</x:v>
      </x:c>
      <x:c r="N45" s="8" t="str">
        <x:v>否</x:v>
      </x:c>
      <x:c r="O45" s="8" t="str">
        <x:v>切换与跨回合能量调度。</x:v>
      </x:c>
      <x:c r="P45" s="8" t="str">
        <x:v>是</x:v>
      </x:c>
      <x:c r="Q45" s="8" t="str">
        <x:v>否</x:v>
      </x:c>
      <x:c r="R45" s="8" t="str">
        <x:v>否</x:v>
      </x:c>
      <x:c r="S45" s="8" t="str">
        <x:v>是</x:v>
      </x:c>
      <x:c r="T45" s="8" t="str">
        <x:v>否</x:v>
      </x:c>
      <x:c r="U45" s="8" t="str">
        <x:v>否</x:v>
      </x:c>
      <x:c r="V45" s="8" t="str">
        <x:v>是</x:v>
      </x:c>
      <x:c r="W45" s="8" t="str">
        <x:v>https://github.com/FFTYYY/sts2-MzmChar-mod/blob/03dc9add4db955351e05bcfce06cf2889f25a695/src/Game/CharacterContent/Cards/HideHeart.cs#L44</x:v>
      </x:c>
    </x:row>
    <x:row r="46" ht="48" customHeight="1">
      <x:c r="A46" s="13" t="str">
        <x:v>HollowActor</x:v>
      </x:c>
      <x:c r="B46" s="13" t="str">
        <x:v>空心演员</x:v>
      </x:c>
      <x:c r="C46" s="13" t="str">
        <x:v>X</x:v>
      </x:c>
      <x:c r="D46" s="13" t="str">
        <x:v>Skill</x:v>
      </x:c>
      <x:c r="E46" s="13" t="str">
        <x:v>Uncommon</x:v>
      </x:c>
      <x:c r="F46" s="13" t="str">
        <x:v>X费；获得X层转换人格，下回合开始逐层切换。</x:v>
      </x:c>
      <x:c r="G46" s="13" t="str">
        <x:v>层数X→X+1。</x:v>
      </x:c>
      <x:c r="H46" s="13" t="str">
        <x:v>无固定关键词</x:v>
      </x:c>
      <x:c r="I46" s="13" t="str">
        <x:v>切换引擎</x:v>
      </x:c>
      <x:c r="J46" s="13" t="str">
        <x:v>Generator / Enabler / Payoff</x:v>
      </x:c>
      <x:c r="K46" s="13" t="str">
        <x:v>数值</x:v>
      </x:c>
      <x:c r="L46" s="13" t="str">
        <x:v>普通奖励</x:v>
      </x:c>
      <x:c r="M46" s="13" t="str">
        <x:v>单人可用</x:v>
      </x:c>
      <x:c r="N46" s="13" t="str">
        <x:v>否</x:v>
      </x:c>
      <x:c r="O46" s="13" t="str">
        <x:v>X=0时升级版仍给1层；单张牌可批量制造切换。</x:v>
      </x:c>
      <x:c r="P46" s="13" t="str">
        <x:v>是</x:v>
      </x:c>
      <x:c r="Q46" s="13" t="str">
        <x:v>否</x:v>
      </x:c>
      <x:c r="R46" s="13" t="str">
        <x:v>是</x:v>
      </x:c>
      <x:c r="S46" s="13" t="str">
        <x:v>是</x:v>
      </x:c>
      <x:c r="T46" s="13" t="str">
        <x:v>否</x:v>
      </x:c>
      <x:c r="U46" s="13" t="str">
        <x:v>否</x:v>
      </x:c>
      <x:c r="V46" s="13" t="str">
        <x:v>否</x:v>
      </x:c>
      <x:c r="W46" s="13" t="str">
        <x:v>https://github.com/FFTYYY/sts2-MzmChar-mod/blob/03dc9add4db955351e05bcfce06cf2889f25a695/src/Game/CharacterContent/Cards/HollowActor.cs#L39</x:v>
      </x:c>
    </x:row>
    <x:row r="47" ht="48" customHeight="1">
      <x:c r="A47" s="8" t="str">
        <x:v>HugThigh</x:v>
      </x:c>
      <x:c r="B47" s="8" t="str">
        <x:v>抱住大腿</x:v>
      </x:c>
      <x:c r="C47" s="8" t="n">
        <x:v>2</x:v>
      </x:c>
      <x:c r="D47" s="8" t="str">
        <x:v>Power</x:v>
      </x:c>
      <x:c r="E47" s="8" t="str">
        <x:v>Uncommon</x:v>
      </x:c>
      <x:c r="F47" s="8" t="str">
        <x:v>清除另一玩家的力量、敏捷、活力，自己获得对应层数的2倍；给该玩家弃牌堆加入本牌复制品。</x:v>
      </x:c>
      <x:c r="G47" s="8" t="str">
        <x:v>复制品改放抽牌堆随机位置，并继承升级。</x:v>
      </x:c>
      <x:c r="H47" s="8" t="str">
        <x:v>无固定关键词</x:v>
      </x:c>
      <x:c r="I47" s="8" t="str">
        <x:v>生成协作、力量活力多段、敏捷格挡转化</x:v>
      </x:c>
      <x:c r="J47" s="8" t="str">
        <x:v>Generator / Payoff / Bridge</x:v>
      </x:c>
      <x:c r="K47" s="8" t="str">
        <x:v>功能</x:v>
      </x:c>
      <x:c r="L47" s="8" t="str">
        <x:v>普通奖励</x:v>
      </x:c>
      <x:c r="M47" s="8" t="str">
        <x:v>仅多人</x:v>
      </x:c>
      <x:c r="N47" s="8" t="str">
        <x:v>否</x:v>
      </x:c>
      <x:c r="O47" s="8" t="str">
        <x:v>仅多人；StealPower包含负层数转移，0层才跳过。</x:v>
      </x:c>
      <x:c r="P47" s="8" t="str">
        <x:v>是</x:v>
      </x:c>
      <x:c r="Q47" s="8" t="str">
        <x:v>否</x:v>
      </x:c>
      <x:c r="R47" s="8" t="str">
        <x:v>是</x:v>
      </x:c>
      <x:c r="S47" s="8" t="str">
        <x:v>否</x:v>
      </x:c>
      <x:c r="T47" s="8" t="str">
        <x:v>是</x:v>
      </x:c>
      <x:c r="U47" s="8" t="str">
        <x:v>否</x:v>
      </x:c>
      <x:c r="V47" s="8" t="str">
        <x:v>否</x:v>
      </x:c>
      <x:c r="W47" s="8" t="str">
        <x:v>https://github.com/FFTYYY/sts2-MzmChar-mod/blob/03dc9add4db955351e05bcfce06cf2889f25a695/src/Game/CharacterContent/Cards/HugThigh.cs#L52</x:v>
      </x:c>
    </x:row>
    <x:row r="48" ht="48" customHeight="1">
      <x:c r="A48" s="13" t="str">
        <x:v>Imitate</x:v>
      </x:c>
      <x:c r="B48" s="13" t="str">
        <x:v>模仿</x:v>
      </x:c>
      <x:c r="C48" s="13" t="n">
        <x:v>2</x:v>
      </x:c>
      <x:c r="D48" s="13" t="str">
        <x:v>Attack</x:v>
      </x:c>
      <x:c r="E48" s="13" t="str">
        <x:v>Uncommon</x:v>
      </x:c>
      <x:c r="F48" s="13" t="str">
        <x:v>睦：12格挡，目标2虚弱；墨：以目标第一项攻击意图的总伤害作为本次基础伤害，无攻击则1。</x:v>
      </x:c>
      <x:c r="G48" s="13" t="str">
        <x:v>费用2→1。</x:v>
      </x:c>
      <x:c r="H48" s="13" t="str">
        <x:v>无固定关键词</x:v>
      </x:c>
      <x:c r="I48" s="13" t="str">
        <x:v>泛用</x:v>
      </x:c>
      <x:c r="J48" s="13" t="str">
        <x:v>Utility</x:v>
      </x:c>
      <x:c r="K48" s="13" t="str">
        <x:v>费用</x:v>
      </x:c>
      <x:c r="L48" s="13" t="str">
        <x:v>普通奖励</x:v>
      </x:c>
      <x:c r="M48" s="13" t="str">
        <x:v>单人可用</x:v>
      </x:c>
      <x:c r="N48" s="13" t="str">
        <x:v>是</x:v>
      </x:c>
      <x:c r="O48" s="13" t="str">
        <x:v>是单次攻击，非逐段复制；意图值与本次攻击增减伤分开计算。</x:v>
      </x:c>
      <x:c r="P48" s="13" t="str">
        <x:v>否</x:v>
      </x:c>
      <x:c r="Q48" s="13" t="str">
        <x:v>否</x:v>
      </x:c>
      <x:c r="R48" s="13" t="str">
        <x:v>否</x:v>
      </x:c>
      <x:c r="S48" s="13" t="str">
        <x:v>否</x:v>
      </x:c>
      <x:c r="T48" s="13" t="str">
        <x:v>否</x:v>
      </x:c>
      <x:c r="U48" s="13" t="str">
        <x:v>否</x:v>
      </x:c>
      <x:c r="V48" s="13" t="str">
        <x:v>是</x:v>
      </x:c>
      <x:c r="W48" s="13" t="str">
        <x:v>https://github.com/FFTYYY/sts2-MzmChar-mod/blob/03dc9add4db955351e05bcfce06cf2889f25a695/src/Game/CharacterContent/Cards/Imitate.cs#L100</x:v>
      </x:c>
    </x:row>
    <x:row r="49" ht="48" customHeight="1">
      <x:c r="A49" s="8" t="str">
        <x:v>InnerNoise</x:v>
      </x:c>
      <x:c r="B49" s="8" t="str">
        <x:v>心底的噪音</x:v>
      </x:c>
      <x:c r="C49" s="8" t="n">
        <x:v>1</x:v>
      </x:c>
      <x:c r="D49" s="8" t="str">
        <x:v>Skill</x:v>
      </x:c>
      <x:c r="E49" s="8" t="str">
        <x:v>Rare</x:v>
      </x:c>
      <x:c r="F49" s="8" t="str">
        <x:v>向手牌生成3张随机0费角色牌。</x:v>
      </x:c>
      <x:c r="G49" s="8" t="str">
        <x:v>费用1→0。</x:v>
      </x:c>
      <x:c r="H49" s="8" t="str">
        <x:v>无固定关键词</x:v>
      </x:c>
      <x:c r="I49" s="8" t="str">
        <x:v>生成协作</x:v>
      </x:c>
      <x:c r="J49" s="8" t="str">
        <x:v>Generator / Utility</x:v>
      </x:c>
      <x:c r="K49" s="8" t="str">
        <x:v>费用</x:v>
      </x:c>
      <x:c r="L49" s="8" t="str">
        <x:v>普通奖励</x:v>
      </x:c>
      <x:c r="M49" s="8" t="str">
        <x:v>单人可用</x:v>
      </x:c>
      <x:c r="N49" s="8" t="str">
        <x:v>否</x:v>
      </x:c>
      <x:c r="O49" s="8" t="str">
        <x:v>排除X费、禁止生成和模式不符的牌，不是给任意牌降费。</x:v>
      </x:c>
      <x:c r="P49" s="8" t="str">
        <x:v>是</x:v>
      </x:c>
      <x:c r="Q49" s="8" t="str">
        <x:v>否</x:v>
      </x:c>
      <x:c r="R49" s="8" t="str">
        <x:v>否</x:v>
      </x:c>
      <x:c r="S49" s="8" t="str">
        <x:v>否</x:v>
      </x:c>
      <x:c r="T49" s="8" t="str">
        <x:v>否</x:v>
      </x:c>
      <x:c r="U49" s="8" t="str">
        <x:v>否</x:v>
      </x:c>
      <x:c r="V49" s="8" t="str">
        <x:v>是</x:v>
      </x:c>
      <x:c r="W49" s="8" t="str">
        <x:v>https://github.com/FFTYYY/sts2-MzmChar-mod/blob/03dc9add4db955351e05bcfce06cf2889f25a695/src/Game/CharacterContent/Cards/InnerNoise.cs#L25</x:v>
      </x:c>
    </x:row>
    <x:row r="50" ht="48" customHeight="1">
      <x:c r="A50" s="13" t="str">
        <x:v>Kneel</x:v>
      </x:c>
      <x:c r="B50" s="13" t="str">
        <x:v>下跪</x:v>
      </x:c>
      <x:c r="C50" s="13" t="n">
        <x:v>2</x:v>
      </x:c>
      <x:c r="D50" s="13" t="str">
        <x:v>Skill</x:v>
      </x:c>
      <x:c r="E50" s="13" t="str">
        <x:v>Uncommon</x:v>
      </x:c>
      <x:c r="F50" s="13" t="str">
        <x:v>睦：受到的伤害减半1回合；墨：4覆甲，进入睦。</x:v>
      </x:c>
      <x:c r="G50" s="13" t="str">
        <x:v>减伤1→2回合；覆甲4→6。</x:v>
      </x:c>
      <x:c r="H50" s="13" t="str">
        <x:v>无固定关键词</x:v>
      </x:c>
      <x:c r="I50" s="13" t="str">
        <x:v>切换引擎</x:v>
      </x:c>
      <x:c r="J50" s="13" t="str">
        <x:v>Enabler / Utility</x:v>
      </x:c>
      <x:c r="K50" s="13" t="str">
        <x:v>数值</x:v>
      </x:c>
      <x:c r="L50" s="13" t="str">
        <x:v>普通奖励</x:v>
      </x:c>
      <x:c r="M50" s="13" t="str">
        <x:v>单人可用</x:v>
      </x:c>
      <x:c r="N50" s="13" t="str">
        <x:v>否</x:v>
      </x:c>
      <x:c r="O50" s="13" t="str">
        <x:v>减伤Power具体乘区及衰减时机见关联源码。</x:v>
      </x:c>
      <x:c r="P50" s="13" t="str">
        <x:v>否</x:v>
      </x:c>
      <x:c r="Q50" s="13" t="str">
        <x:v>否</x:v>
      </x:c>
      <x:c r="R50" s="13" t="str">
        <x:v>否</x:v>
      </x:c>
      <x:c r="S50" s="13" t="str">
        <x:v>是</x:v>
      </x:c>
      <x:c r="T50" s="13" t="str">
        <x:v>否</x:v>
      </x:c>
      <x:c r="U50" s="13" t="str">
        <x:v>否</x:v>
      </x:c>
      <x:c r="V50" s="13" t="str">
        <x:v>是</x:v>
      </x:c>
      <x:c r="W50" s="13" t="str">
        <x:v>https://github.com/FFTYYY/sts2-MzmChar-mod/blob/03dc9add4db955351e05bcfce06cf2889f25a695/src/Game/CharacterContent/Cards/Kneel.cs#L43</x:v>
      </x:c>
    </x:row>
    <x:row r="51" ht="48" customHeight="1">
      <x:c r="A51" s="8" t="str">
        <x:v>LittleCucumber</x:v>
      </x:c>
      <x:c r="B51" s="8" t="str">
        <x:v>小黄瓜</x:v>
      </x:c>
      <x:c r="C51" s="8" t="n">
        <x:v>1</x:v>
      </x:c>
      <x:c r="D51" s="8" t="str">
        <x:v>Skill</x:v>
      </x:c>
      <x:c r="E51" s="8" t="str">
        <x:v>Uncommon</x:v>
      </x:c>
      <x:c r="F51" s="8" t="str">
        <x:v>睦：回复7生命并失去2力量；墨：失去至多4生命且最低留1，获得2力量和2能量。【消耗】</x:v>
      </x:c>
      <x:c r="G51" s="8" t="str">
        <x:v>回复7→10；自损上限4→2；能量2→3。</x:v>
      </x:c>
      <x:c r="H51" s="8" t="str">
        <x:v>消耗</x:v>
      </x:c>
      <x:c r="I51" s="8" t="str">
        <x:v>力量活力多段</x:v>
      </x:c>
      <x:c r="J51" s="8" t="str">
        <x:v>Generator / Utility</x:v>
      </x:c>
      <x:c r="K51" s="8" t="str">
        <x:v>数值</x:v>
      </x:c>
      <x:c r="L51" s="8" t="str">
        <x:v>普通奖励</x:v>
      </x:c>
      <x:c r="M51" s="8" t="str">
        <x:v>单人可用</x:v>
      </x:c>
      <x:c r="N51" s="8" t="str">
        <x:v>否</x:v>
      </x:c>
      <x:c r="O51" s="8" t="str">
        <x:v>自损走Unblockable/Unpowered伤害；当前HP不足不影响后续奖励。</x:v>
      </x:c>
      <x:c r="P51" s="8" t="str">
        <x:v>是</x:v>
      </x:c>
      <x:c r="Q51" s="8" t="str">
        <x:v>否</x:v>
      </x:c>
      <x:c r="R51" s="8" t="str">
        <x:v>否</x:v>
      </x:c>
      <x:c r="S51" s="8" t="str">
        <x:v>否</x:v>
      </x:c>
      <x:c r="T51" s="8" t="str">
        <x:v>否</x:v>
      </x:c>
      <x:c r="U51" s="8" t="str">
        <x:v>否</x:v>
      </x:c>
      <x:c r="V51" s="8" t="str">
        <x:v>是</x:v>
      </x:c>
      <x:c r="W51" s="8" t="str">
        <x:v>https://github.com/FFTYYY/sts2-MzmChar-mod/blob/03dc9add4db955351e05bcfce06cf2889f25a695/src/Game/CharacterContent/Cards/LittleCucumber.cs#L45</x:v>
      </x:c>
    </x:row>
    <x:row r="52" ht="48" customHeight="1">
      <x:c r="A52" s="13" t="str">
        <x:v>LookAway</x:v>
      </x:c>
      <x:c r="B52" s="13" t="str">
        <x:v>移开视线</x:v>
      </x:c>
      <x:c r="C52" s="13" t="n">
        <x:v>1</x:v>
      </x:c>
      <x:c r="D52" s="13" t="str">
        <x:v>Skill</x:v>
      </x:c>
      <x:c r="E52" s="13" t="str">
        <x:v>Uncommon</x:v>
      </x:c>
      <x:c r="F52" s="13" t="str">
        <x:v>移除自身易伤、虚弱、脆弱。【消耗】</x:v>
      </x:c>
      <x:c r="G52" s="13" t="str">
        <x:v>增加保留。</x:v>
      </x:c>
      <x:c r="H52" s="13" t="str">
        <x:v>消耗</x:v>
      </x:c>
      <x:c r="I52" s="13" t="str">
        <x:v>泛用</x:v>
      </x:c>
      <x:c r="J52" s="13" t="str">
        <x:v>Utility</x:v>
      </x:c>
      <x:c r="K52" s="13" t="str">
        <x:v>功能</x:v>
      </x:c>
      <x:c r="L52" s="13" t="str">
        <x:v>普通奖励</x:v>
      </x:c>
      <x:c r="M52" s="13" t="str">
        <x:v>单人可用</x:v>
      </x:c>
      <x:c r="N52" s="13" t="str">
        <x:v>是</x:v>
      </x:c>
      <x:c r="O52" s="13" t="str">
        <x:v>通用净化，不清理所有负面状态。</x:v>
      </x:c>
      <x:c r="P52" s="13" t="str">
        <x:v>否</x:v>
      </x:c>
      <x:c r="Q52" s="13" t="str">
        <x:v>否</x:v>
      </x:c>
      <x:c r="R52" s="13" t="str">
        <x:v>否</x:v>
      </x:c>
      <x:c r="S52" s="13" t="str">
        <x:v>否</x:v>
      </x:c>
      <x:c r="T52" s="13" t="str">
        <x:v>否</x:v>
      </x:c>
      <x:c r="U52" s="13" t="str">
        <x:v>否</x:v>
      </x:c>
      <x:c r="V52" s="13" t="str">
        <x:v>是</x:v>
      </x:c>
      <x:c r="W52" s="13" t="str">
        <x:v>https://github.com/FFTYYY/sts2-MzmChar-mod/blob/03dc9add4db955351e05bcfce06cf2889f25a695/src/Game/CharacterContent/Cards/LookAway.cs#L25</x:v>
      </x:c>
    </x:row>
    <x:row r="53" ht="48" customHeight="1">
      <x:c r="A53" s="8" t="str">
        <x:v>Madness</x:v>
      </x:c>
      <x:c r="B53" s="8" t="str">
        <x:v>疯癫</x:v>
      </x:c>
      <x:c r="C53" s="8" t="n">
        <x:v>1</x:v>
      </x:c>
      <x:c r="D53" s="8" t="str">
        <x:v>Skill</x:v>
      </x:c>
      <x:c r="E53" s="8" t="str">
        <x:v>Uncommon</x:v>
      </x:c>
      <x:c r="F53" s="8" t="str">
        <x:v>第k次先前使用后费用为1+k、先获得k能量。睦再获2能量并进入墨；墨抽3+k并进入睦；使用后费用及成长计数+1。</x:v>
      </x:c>
      <x:c r="G53" s="8" t="str">
        <x:v>睦额外能量2→3；墨基础抽牌3→4。</x:v>
      </x:c>
      <x:c r="H53" s="8" t="str">
        <x:v>无固定关键词</x:v>
      </x:c>
      <x:c r="I53" s="8" t="str">
        <x:v>切换引擎</x:v>
      </x:c>
      <x:c r="J53" s="8" t="str">
        <x:v>Generator / Enabler / Build-around</x:v>
      </x:c>
      <x:c r="K53" s="8" t="str">
        <x:v>数值</x:v>
      </x:c>
      <x:c r="L53" s="8" t="str">
        <x:v>普通奖励</x:v>
      </x:c>
      <x:c r="M53" s="8" t="str">
        <x:v>单人可用</x:v>
      </x:c>
      <x:c r="N53" s="8" t="str">
        <x:v>否</x:v>
      </x:c>
      <x:c r="O53" s="8" t="str">
        <x:v>k是本战斗同实例先前打出次数；高费用仍须先付，不能只看净能量。</x:v>
      </x:c>
      <x:c r="P53" s="8" t="str">
        <x:v>是</x:v>
      </x:c>
      <x:c r="Q53" s="8" t="str">
        <x:v>否</x:v>
      </x:c>
      <x:c r="R53" s="8" t="str">
        <x:v>否</x:v>
      </x:c>
      <x:c r="S53" s="8" t="str">
        <x:v>是</x:v>
      </x:c>
      <x:c r="T53" s="8" t="str">
        <x:v>否</x:v>
      </x:c>
      <x:c r="U53" s="8" t="str">
        <x:v>是</x:v>
      </x:c>
      <x:c r="V53" s="8" t="str">
        <x:v>否</x:v>
      </x:c>
      <x:c r="W53" s="8" t="str">
        <x:v>https://github.com/FFTYYY/sts2-MzmChar-mod/blob/03dc9add4db955351e05bcfce06cf2889f25a695/src/Game/CharacterContent/Cards/Madness.cs#L44</x:v>
      </x:c>
    </x:row>
    <x:row r="54" ht="48" customHeight="1">
      <x:c r="A54" s="13" t="str">
        <x:v>MaskedPlay</x:v>
      </x:c>
      <x:c r="B54" s="13" t="str">
        <x:v>假面剧</x:v>
      </x:c>
      <x:c r="C54" s="13" t="n">
        <x:v>1</x:v>
      </x:c>
      <x:c r="D54" s="13" t="str">
        <x:v>Skill</x:v>
      </x:c>
      <x:c r="E54" s="13" t="str">
        <x:v>Uncommon</x:v>
      </x:c>
      <x:c r="F54" s="13" t="str">
        <x:v>非演奏会：1热情；演奏会睦：抽3；演奏会墨：获得3能量。【虚无、消耗、演奏】</x:v>
      </x:c>
      <x:c r="G54" s="13" t="str">
        <x:v>抽3→4；能量3→4。</x:v>
      </x:c>
      <x:c r="H54" s="13" t="str">
        <x:v>虚无、消耗、演奏</x:v>
      </x:c>
      <x:c r="I54" s="13" t="str">
        <x:v>演奏会</x:v>
      </x:c>
      <x:c r="J54" s="13" t="str">
        <x:v>Generator / Payoff / Utility</x:v>
      </x:c>
      <x:c r="K54" s="13" t="str">
        <x:v>数值</x:v>
      </x:c>
      <x:c r="L54" s="13" t="str">
        <x:v>普通奖励</x:v>
      </x:c>
      <x:c r="M54" s="13" t="str">
        <x:v>单人可用</x:v>
      </x:c>
      <x:c r="N54" s="13" t="str">
        <x:v>否</x:v>
      </x:c>
      <x:c r="O54" s="13" t="str">
        <x:v>窗口内的过牌或能量续航。</x:v>
      </x:c>
      <x:c r="P54" s="13" t="str">
        <x:v>是</x:v>
      </x:c>
      <x:c r="Q54" s="13" t="str">
        <x:v>否</x:v>
      </x:c>
      <x:c r="R54" s="13" t="str">
        <x:v>是</x:v>
      </x:c>
      <x:c r="S54" s="13" t="str">
        <x:v>否</x:v>
      </x:c>
      <x:c r="T54" s="13" t="str">
        <x:v>否</x:v>
      </x:c>
      <x:c r="U54" s="13" t="str">
        <x:v>否</x:v>
      </x:c>
      <x:c r="V54" s="13" t="str">
        <x:v>是</x:v>
      </x:c>
      <x:c r="W54" s="13" t="str">
        <x:v>https://github.com/FFTYYY/sts2-MzmChar-mod/blob/03dc9add4db955351e05bcfce06cf2889f25a695/src/Game/CharacterContent/Cards/MaskedPlay.cs#L49</x:v>
      </x:c>
    </x:row>
    <x:row r="55" ht="48" customHeight="1">
      <x:c r="A55" s="8" t="str">
        <x:v>Megaphone</x:v>
      </x:c>
      <x:c r="B55" s="8" t="str">
        <x:v>传话筒</x:v>
      </x:c>
      <x:c r="C55" s="8" t="n">
        <x:v>2</x:v>
      </x:c>
      <x:c r="D55" s="8" t="str">
        <x:v>Power</x:v>
      </x:c>
      <x:c r="E55" s="8" t="str">
        <x:v>Uncommon</x:v>
      </x:c>
      <x:c r="F55" s="8" t="str">
        <x:v>按打出时形态安装能力：睦为每回合多抽1；墨为回合起始随机手牌本回合0费。</x:v>
      </x:c>
      <x:c r="G55" s="8" t="str">
        <x:v>费用2→1。</x:v>
      </x:c>
      <x:c r="H55" s="8" t="str">
        <x:v>无固定关键词</x:v>
      </x:c>
      <x:c r="I55" s="8" t="str">
        <x:v>泛用</x:v>
      </x:c>
      <x:c r="J55" s="8" t="str">
        <x:v>Utility</x:v>
      </x:c>
      <x:c r="K55" s="8" t="str">
        <x:v>费用</x:v>
      </x:c>
      <x:c r="L55" s="8" t="str">
        <x:v>普通奖励</x:v>
      </x:c>
      <x:c r="M55" s="8" t="str">
        <x:v>单人可用</x:v>
      </x:c>
      <x:c r="N55" s="8" t="str">
        <x:v>是</x:v>
      </x:c>
      <x:c r="O55" s="8" t="str">
        <x:v>收益分支在打出时固定，后续切换不会改变已装能力；纯Utility。</x:v>
      </x:c>
      <x:c r="P55" s="8" t="str">
        <x:v>否</x:v>
      </x:c>
      <x:c r="Q55" s="8" t="str">
        <x:v>否</x:v>
      </x:c>
      <x:c r="R55" s="8" t="str">
        <x:v>否</x:v>
      </x:c>
      <x:c r="S55" s="8" t="str">
        <x:v>否</x:v>
      </x:c>
      <x:c r="T55" s="8" t="str">
        <x:v>否</x:v>
      </x:c>
      <x:c r="U55" s="8" t="str">
        <x:v>否</x:v>
      </x:c>
      <x:c r="V55" s="8" t="str">
        <x:v>是</x:v>
      </x:c>
      <x:c r="W55" s="8" t="str">
        <x:v>https://github.com/FFTYYY/sts2-MzmChar-mod/blob/03dc9add4db955351e05bcfce06cf2889f25a695/src/Game/CharacterContent/Cards/Megaphone.cs#L32</x:v>
      </x:c>
    </x:row>
    <x:row r="56" ht="48" customHeight="1">
      <x:c r="A56" s="13" t="str">
        <x:v>MemoryOfBand</x:v>
      </x:c>
      <x:c r="B56" s="13" t="str">
        <x:v>回忆中的乐队</x:v>
      </x:c>
      <x:c r="C56" s="13" t="n">
        <x:v>3</x:v>
      </x:c>
      <x:c r="D56" s="13" t="str">
        <x:v>Power</x:v>
      </x:c>
      <x:c r="E56" s="13" t="str">
        <x:v>Rare</x:v>
      </x:c>
      <x:c r="F56" s="13" t="str">
        <x:v>获得5演艺热情。</x:v>
      </x:c>
      <x:c r="G56" s="13" t="str">
        <x:v>费用3→2。</x:v>
      </x:c>
      <x:c r="H56" s="13" t="str">
        <x:v>无固定关键词</x:v>
      </x:c>
      <x:c r="I56" s="13" t="str">
        <x:v>演奏会</x:v>
      </x:c>
      <x:c r="J56" s="13" t="str">
        <x:v>Generator / Enabler</x:v>
      </x:c>
      <x:c r="K56" s="13" t="str">
        <x:v>费用</x:v>
      </x:c>
      <x:c r="L56" s="13" t="str">
        <x:v>普通奖励</x:v>
      </x:c>
      <x:c r="M56" s="13" t="str">
        <x:v>单人可用</x:v>
      </x:c>
      <x:c r="N56" s="13" t="str">
        <x:v>否</x:v>
      </x:c>
      <x:c r="O56" s="13" t="str">
        <x:v>达到阈值安排回合末后的演奏会，不是立即切换窗口。</x:v>
      </x:c>
      <x:c r="P56" s="13" t="str">
        <x:v>是</x:v>
      </x:c>
      <x:c r="Q56" s="13" t="str">
        <x:v>否</x:v>
      </x:c>
      <x:c r="R56" s="13" t="str">
        <x:v>否</x:v>
      </x:c>
      <x:c r="S56" s="13" t="str">
        <x:v>是</x:v>
      </x:c>
      <x:c r="T56" s="13" t="str">
        <x:v>否</x:v>
      </x:c>
      <x:c r="U56" s="13" t="str">
        <x:v>否</x:v>
      </x:c>
      <x:c r="V56" s="13" t="str">
        <x:v>否</x:v>
      </x:c>
      <x:c r="W56" s="13" t="str">
        <x:v>https://github.com/FFTYYY/sts2-MzmChar-mod/blob/03dc9add4db955351e05bcfce06cf2889f25a695/src/Game/CharacterContent/Cards/MemoryOfBand.cs#L31</x:v>
      </x:c>
    </x:row>
    <x:row r="57" ht="48" customHeight="1">
      <x:c r="A57" s="8" t="str">
        <x:v>MirrorDoll</x:v>
      </x:c>
      <x:c r="B57" s="8" t="str">
        <x:v>镜中人</x:v>
      </x:c>
      <x:c r="C57" s="8" t="n">
        <x:v>2</x:v>
      </x:c>
      <x:c r="D57" s="8" t="str">
        <x:v>Attack</x:v>
      </x:c>
      <x:c r="E57" s="8" t="str">
        <x:v>Rare</x:v>
      </x:c>
      <x:c r="F57" s="8" t="str">
        <x:v>睦：获得2能量、6格挡并进入墨；墨：3伤害×(2+本回合此前睦出牌数)，再进入睦。</x:v>
      </x:c>
      <x:c r="G57" s="8" t="str">
        <x:v>格挡6→9；每段3→5。</x:v>
      </x:c>
      <x:c r="H57" s="8" t="str">
        <x:v>无固定关键词</x:v>
      </x:c>
      <x:c r="I57" s="8" t="str">
        <x:v>切换引擎、力量活力多段</x:v>
      </x:c>
      <x:c r="J57" s="8" t="str">
        <x:v>Generator / Consumer / Payoff / Build-around / Bridge</x:v>
      </x:c>
      <x:c r="K57" s="8" t="str">
        <x:v>数值</x:v>
      </x:c>
      <x:c r="L57" s="8" t="str">
        <x:v>普通奖励</x:v>
      </x:c>
      <x:c r="M57" s="8" t="str">
        <x:v>单人可用</x:v>
      </x:c>
      <x:c r="N57" s="8" t="str">
        <x:v>否</x:v>
      </x:c>
      <x:c r="O57" s="8" t="str">
        <x:v>睦出牌历史变成墨攻击段数，随后返回睦续循环。</x:v>
      </x:c>
      <x:c r="P57" s="8" t="str">
        <x:v>是</x:v>
      </x:c>
      <x:c r="Q57" s="8" t="str">
        <x:v>是</x:v>
      </x:c>
      <x:c r="R57" s="8" t="str">
        <x:v>是</x:v>
      </x:c>
      <x:c r="S57" s="8" t="str">
        <x:v>否</x:v>
      </x:c>
      <x:c r="T57" s="8" t="str">
        <x:v>是</x:v>
      </x:c>
      <x:c r="U57" s="8" t="str">
        <x:v>是</x:v>
      </x:c>
      <x:c r="V57" s="8" t="str">
        <x:v>否</x:v>
      </x:c>
      <x:c r="W57" s="8" t="str">
        <x:v>https://github.com/FFTYYY/sts2-MzmChar-mod/blob/03dc9add4db955351e05bcfce06cf2889f25a695/src/Game/CharacterContent/Cards/MirrorDoll.cs#L64</x:v>
      </x:c>
    </x:row>
    <x:row r="58" ht="48" customHeight="1">
      <x:c r="A58" s="13" t="str">
        <x:v>MoonForestUniform</x:v>
      </x:c>
      <x:c r="B58" s="13" t="str">
        <x:v>月之森制服</x:v>
      </x:c>
      <x:c r="C58" s="13" t="n">
        <x:v>1</x:v>
      </x:c>
      <x:c r="D58" s="13" t="str">
        <x:v>Power</x:v>
      </x:c>
      <x:c r="E58" s="13" t="str">
        <x:v>Uncommon</x:v>
      </x:c>
      <x:c r="F58" s="13" t="str">
        <x:v>以睦开始回合时，获得本回合2敏捷。</x:v>
      </x:c>
      <x:c r="G58" s="13" t="str">
        <x:v>临时敏捷2→4。</x:v>
      </x:c>
      <x:c r="H58" s="13" t="str">
        <x:v>无固定关键词</x:v>
      </x:c>
      <x:c r="I58" s="13" t="str">
        <x:v>敏捷格挡转化</x:v>
      </x:c>
      <x:c r="J58" s="13" t="str">
        <x:v>Generator / Build-around</x:v>
      </x:c>
      <x:c r="K58" s="13" t="str">
        <x:v>数值</x:v>
      </x:c>
      <x:c r="L58" s="13" t="str">
        <x:v>普通奖励</x:v>
      </x:c>
      <x:c r="M58" s="13" t="str">
        <x:v>单人可用</x:v>
      </x:c>
      <x:c r="N58" s="13" t="str">
        <x:v>否</x:v>
      </x:c>
      <x:c r="O58" s="13" t="str">
        <x:v>回合开始检查形态。</x:v>
      </x:c>
      <x:c r="P58" s="13" t="str">
        <x:v>是</x:v>
      </x:c>
      <x:c r="Q58" s="13" t="str">
        <x:v>否</x:v>
      </x:c>
      <x:c r="R58" s="13" t="str">
        <x:v>否</x:v>
      </x:c>
      <x:c r="S58" s="13" t="str">
        <x:v>否</x:v>
      </x:c>
      <x:c r="T58" s="13" t="str">
        <x:v>否</x:v>
      </x:c>
      <x:c r="U58" s="13" t="str">
        <x:v>是</x:v>
      </x:c>
      <x:c r="V58" s="13" t="str">
        <x:v>否</x:v>
      </x:c>
      <x:c r="W58" s="13" t="str">
        <x:v>https://github.com/FFTYYY/sts2-MzmChar-mod/blob/03dc9add4db955351e05bcfce06cf2889f25a695/src/Game/CharacterContent/Cards/MoonForestUniform.cs#L34</x:v>
      </x:c>
    </x:row>
    <x:row r="59" ht="48" customHeight="1">
      <x:c r="A59" s="8" t="str">
        <x:v>MortisCard</x:v>
      </x:c>
      <x:c r="B59" s="8" t="str">
        <x:v>Mortis</x:v>
      </x:c>
      <x:c r="C59" s="8" t="n">
        <x:v>2</x:v>
      </x:c>
      <x:c r="D59" s="8" t="str">
        <x:v>Power</x:v>
      </x:c>
      <x:c r="E59" s="8" t="str">
        <x:v>Uncommon</x:v>
      </x:c>
      <x:c r="F59" s="8" t="str">
        <x:v>每次实际切换形态，对所有敌人造成8不受力量等修正的伤害。</x:v>
      </x:c>
      <x:c r="G59" s="8" t="str">
        <x:v>费用2→1。</x:v>
      </x:c>
      <x:c r="H59" s="8" t="str">
        <x:v>无固定关键词</x:v>
      </x:c>
      <x:c r="I59" s="8" t="str">
        <x:v>切换引擎</x:v>
      </x:c>
      <x:c r="J59" s="8" t="str">
        <x:v>Payoff / Build-around</x:v>
      </x:c>
      <x:c r="K59" s="8" t="str">
        <x:v>费用</x:v>
      </x:c>
      <x:c r="L59" s="8" t="str">
        <x:v>普通奖励</x:v>
      </x:c>
      <x:c r="M59" s="8" t="str">
        <x:v>单人可用</x:v>
      </x:c>
      <x:c r="N59" s="8" t="str">
        <x:v>否</x:v>
      </x:c>
      <x:c r="O59" s="8" t="str">
        <x:v>Power使用Move与Unpowered，非一次攻击牌打出，不能当成活力多段攻击。</x:v>
      </x:c>
      <x:c r="P59" s="8" t="str">
        <x:v>否</x:v>
      </x:c>
      <x:c r="Q59" s="8" t="str">
        <x:v>否</x:v>
      </x:c>
      <x:c r="R59" s="8" t="str">
        <x:v>是</x:v>
      </x:c>
      <x:c r="S59" s="8" t="str">
        <x:v>否</x:v>
      </x:c>
      <x:c r="T59" s="8" t="str">
        <x:v>否</x:v>
      </x:c>
      <x:c r="U59" s="8" t="str">
        <x:v>是</x:v>
      </x:c>
      <x:c r="V59" s="8" t="str">
        <x:v>否</x:v>
      </x:c>
      <x:c r="W59" s="8" t="str">
        <x:v>https://github.com/FFTYYY/sts2-MzmChar-mod/blob/03dc9add4db955351e05bcfce06cf2889f25a695/src/Game/CharacterContent/Cards/MortisCard.cs#L34</x:v>
      </x:c>
    </x:row>
    <x:row r="60" ht="48" customHeight="1">
      <x:c r="A60" s="13" t="str">
        <x:v>MoveCard</x:v>
      </x:c>
      <x:c r="B60" s="13" t="str">
        <x:v>移动</x:v>
      </x:c>
      <x:c r="C60" s="13" t="n">
        <x:v>1</x:v>
      </x:c>
      <x:c r="D60" s="13" t="str">
        <x:v>Skill</x:v>
      </x:c>
      <x:c r="E60" s="13" t="str">
        <x:v>Common</x:v>
      </x:c>
      <x:c r="F60" s="13" t="str">
        <x:v>睦：3格挡，弃牌堆选1回手；墨：抽2。</x:v>
      </x:c>
      <x:c r="G60" s="13" t="str">
        <x:v>格挡3→5；抽2→3。</x:v>
      </x:c>
      <x:c r="H60" s="13" t="str">
        <x:v>无固定关键词</x:v>
      </x:c>
      <x:c r="I60" s="13" t="str">
        <x:v>泛用</x:v>
      </x:c>
      <x:c r="J60" s="13" t="str">
        <x:v>Utility</x:v>
      </x:c>
      <x:c r="K60" s="13" t="str">
        <x:v>数值</x:v>
      </x:c>
      <x:c r="L60" s="13" t="str">
        <x:v>普通奖励</x:v>
      </x:c>
      <x:c r="M60" s="13" t="str">
        <x:v>单人可用</x:v>
      </x:c>
      <x:c r="N60" s="13" t="str">
        <x:v>是</x:v>
      </x:c>
      <x:c r="O60" s="13" t="str">
        <x:v>基础循环的通用回收工具。</x:v>
      </x:c>
      <x:c r="P60" s="13" t="str">
        <x:v>否</x:v>
      </x:c>
      <x:c r="Q60" s="13" t="str">
        <x:v>否</x:v>
      </x:c>
      <x:c r="R60" s="13" t="str">
        <x:v>否</x:v>
      </x:c>
      <x:c r="S60" s="13" t="str">
        <x:v>否</x:v>
      </x:c>
      <x:c r="T60" s="13" t="str">
        <x:v>否</x:v>
      </x:c>
      <x:c r="U60" s="13" t="str">
        <x:v>否</x:v>
      </x:c>
      <x:c r="V60" s="13" t="str">
        <x:v>是</x:v>
      </x:c>
      <x:c r="W60" s="13" t="str">
        <x:v>https://github.com/FFTYYY/sts2-MzmChar-mod/blob/03dc9add4db955351e05bcfce06cf2889f25a695/src/Game/CharacterContent/Cards/MoveCard.cs#L48</x:v>
      </x:c>
    </x:row>
    <x:row r="61" ht="48" customHeight="1">
      <x:c r="A61" s="8" t="str">
        <x:v>MuBurn</x:v>
      </x:c>
      <x:c r="B61" s="8" t="str">
        <x:v>燃烧</x:v>
      </x:c>
      <x:c r="C61" s="8" t="n">
        <x:v>1</x:v>
      </x:c>
      <x:c r="D61" s="8" t="str">
        <x:v>Power</x:v>
      </x:c>
      <x:c r="E61" s="8" t="str">
        <x:v>Uncommon</x:v>
      </x:c>
      <x:c r="F61" s="8" t="str">
        <x:v>获得2力量。</x:v>
      </x:c>
      <x:c r="G61" s="8" t="str">
        <x:v>力量2→3。</x:v>
      </x:c>
      <x:c r="H61" s="8" t="str">
        <x:v>无固定关键词</x:v>
      </x:c>
      <x:c r="I61" s="8" t="str">
        <x:v>力量活力多段</x:v>
      </x:c>
      <x:c r="J61" s="8" t="str">
        <x:v>Generator</x:v>
      </x:c>
      <x:c r="K61" s="8" t="str">
        <x:v>数值</x:v>
      </x:c>
      <x:c r="L61" s="8" t="str">
        <x:v>普通奖励</x:v>
      </x:c>
      <x:c r="M61" s="8" t="str">
        <x:v>单人可用</x:v>
      </x:c>
      <x:c r="N61" s="8" t="str">
        <x:v>否</x:v>
      </x:c>
      <x:c r="O61" s="8" t="str">
        <x:v>简洁的长期攻击成长。</x:v>
      </x:c>
      <x:c r="P61" s="8" t="str">
        <x:v>是</x:v>
      </x:c>
      <x:c r="Q61" s="8" t="str">
        <x:v>否</x:v>
      </x:c>
      <x:c r="R61" s="8" t="str">
        <x:v>否</x:v>
      </x:c>
      <x:c r="S61" s="8" t="str">
        <x:v>否</x:v>
      </x:c>
      <x:c r="T61" s="8" t="str">
        <x:v>否</x:v>
      </x:c>
      <x:c r="U61" s="8" t="str">
        <x:v>否</x:v>
      </x:c>
      <x:c r="V61" s="8" t="str">
        <x:v>否</x:v>
      </x:c>
      <x:c r="W61" s="8" t="str">
        <x:v>https://github.com/FFTYYY/sts2-MzmChar-mod/blob/03dc9add4db955351e05bcfce06cf2889f25a695/src/Game/CharacterContent/Cards/MuBurn.cs#L35</x:v>
      </x:c>
    </x:row>
    <x:row r="62" ht="48" customHeight="1">
      <x:c r="A62" s="13" t="str">
        <x:v>MuCourage</x:v>
      </x:c>
      <x:c r="B62" s="13" t="str">
        <x:v>勇气</x:v>
      </x:c>
      <x:c r="C62" s="13" t="n">
        <x:v>1</x:v>
      </x:c>
      <x:c r="D62" s="13" t="str">
        <x:v>Attack</x:v>
      </x:c>
      <x:c r="E62" s="13" t="str">
        <x:v>Uncommon</x:v>
      </x:c>
      <x:c r="F62" s="13" t="str">
        <x:v>睦：4伤害×2；墨：7格挡。</x:v>
      </x:c>
      <x:c r="G62" s="13" t="str">
        <x:v>增加保留。</x:v>
      </x:c>
      <x:c r="H62" s="13" t="str">
        <x:v>无固定关键词</x:v>
      </x:c>
      <x:c r="I62" s="13" t="str">
        <x:v>力量活力多段</x:v>
      </x:c>
      <x:c r="J62" s="13" t="str">
        <x:v>Consumer / Payoff / Utility</x:v>
      </x:c>
      <x:c r="K62" s="13" t="str">
        <x:v>功能</x:v>
      </x:c>
      <x:c r="L62" s="13" t="str">
        <x:v>普通奖励</x:v>
      </x:c>
      <x:c r="M62" s="13" t="str">
        <x:v>单人可用</x:v>
      </x:c>
      <x:c r="N62" s="13" t="str">
        <x:v>否</x:v>
      </x:c>
      <x:c r="O62" s="13" t="str">
        <x:v>在睦形态也能兑现多段攻击，避免固定睦只铺垫。</x:v>
      </x:c>
      <x:c r="P62" s="13" t="str">
        <x:v>否</x:v>
      </x:c>
      <x:c r="Q62" s="13" t="str">
        <x:v>是</x:v>
      </x:c>
      <x:c r="R62" s="13" t="str">
        <x:v>是</x:v>
      </x:c>
      <x:c r="S62" s="13" t="str">
        <x:v>否</x:v>
      </x:c>
      <x:c r="T62" s="13" t="str">
        <x:v>否</x:v>
      </x:c>
      <x:c r="U62" s="13" t="str">
        <x:v>否</x:v>
      </x:c>
      <x:c r="V62" s="13" t="str">
        <x:v>是</x:v>
      </x:c>
      <x:c r="W62" s="13" t="str">
        <x:v>https://github.com/FFTYYY/sts2-MzmChar-mod/blob/03dc9add4db955351e05bcfce06cf2889f25a695/src/Game/CharacterContent/Cards/MuCourage.cs#L34</x:v>
      </x:c>
    </x:row>
    <x:row r="63" ht="48" customHeight="1">
      <x:c r="A63" s="8" t="str">
        <x:v>MuDefend</x:v>
      </x:c>
      <x:c r="B63" s="8" t="str">
        <x:v>防御</x:v>
      </x:c>
      <x:c r="C63" s="8" t="n">
        <x:v>1</x:v>
      </x:c>
      <x:c r="D63" s="8" t="str">
        <x:v>Skill</x:v>
      </x:c>
      <x:c r="E63" s="8" t="str">
        <x:v>Basic</x:v>
      </x:c>
      <x:c r="F63" s="8" t="str">
        <x:v>睦：6格挡；墨：先3格挡，再获得本回合1敏捷。</x:v>
      </x:c>
      <x:c r="G63" s="8" t="str">
        <x:v>睦格挡6→9；墨格挡3→5、敏捷1→2。</x:v>
      </x:c>
      <x:c r="H63" s="8" t="str">
        <x:v>无固定关键词</x:v>
      </x:c>
      <x:c r="I63" s="8" t="str">
        <x:v>敏捷格挡转化</x:v>
      </x:c>
      <x:c r="J63" s="8" t="str">
        <x:v>Generator / Utility</x:v>
      </x:c>
      <x:c r="K63" s="8" t="str">
        <x:v>数值</x:v>
      </x:c>
      <x:c r="L63" s="8" t="str">
        <x:v>初始</x:v>
      </x:c>
      <x:c r="M63" s="8" t="str">
        <x:v>单人可用</x:v>
      </x:c>
      <x:c r="N63" s="8" t="str">
        <x:v>否</x:v>
      </x:c>
      <x:c r="O63" s="8" t="str">
        <x:v>顺序重要，刚获得的敏捷不加成本牌先前格挡。</x:v>
      </x:c>
      <x:c r="P63" s="8" t="str">
        <x:v>是</x:v>
      </x:c>
      <x:c r="Q63" s="8" t="str">
        <x:v>否</x:v>
      </x:c>
      <x:c r="R63" s="8" t="str">
        <x:v>否</x:v>
      </x:c>
      <x:c r="S63" s="8" t="str">
        <x:v>否</x:v>
      </x:c>
      <x:c r="T63" s="8" t="str">
        <x:v>否</x:v>
      </x:c>
      <x:c r="U63" s="8" t="str">
        <x:v>否</x:v>
      </x:c>
      <x:c r="V63" s="8" t="str">
        <x:v>是</x:v>
      </x:c>
      <x:c r="W63" s="8" t="str">
        <x:v>https://github.com/FFTYYY/sts2-MzmChar-mod/blob/03dc9add4db955351e05bcfce06cf2889f25a695/src/Game/CharacterContent/Cards/MuDefend.cs#L50</x:v>
      </x:c>
    </x:row>
    <x:row r="64" ht="48" customHeight="1">
      <x:c r="A64" s="13" t="str">
        <x:v>MuGrandFinale</x:v>
      </x:c>
      <x:c r="B64" s="13" t="str">
        <x:v>华丽谢幕</x:v>
      </x:c>
      <x:c r="C64" s="13" t="n">
        <x:v>1</x:v>
      </x:c>
      <x:c r="D64" s="13" t="str">
        <x:v>Attack</x:v>
      </x:c>
      <x:c r="E64" s="13" t="str">
        <x:v>Rare</x:v>
      </x:c>
      <x:c r="F64" s="13" t="str">
        <x:v>非演奏会：1热情；演奏会且打出后手牌为0：全体5伤害×4，否则无伤害。【虚无、消耗、演奏】</x:v>
      </x:c>
      <x:c r="G64" s="13" t="str">
        <x:v>每段5→8。</x:v>
      </x:c>
      <x:c r="H64" s="13" t="str">
        <x:v>虚无、消耗、演奏</x:v>
      </x:c>
      <x:c r="I64" s="13" t="str">
        <x:v>演奏会、力量活力多段</x:v>
      </x:c>
      <x:c r="J64" s="13" t="str">
        <x:v>Generator / Consumer / Payoff / Bridge</x:v>
      </x:c>
      <x:c r="K64" s="13" t="str">
        <x:v>数值</x:v>
      </x:c>
      <x:c r="L64" s="13" t="str">
        <x:v>普通奖励</x:v>
      </x:c>
      <x:c r="M64" s="13" t="str">
        <x:v>单人可用</x:v>
      </x:c>
      <x:c r="N64" s="13" t="str">
        <x:v>否</x:v>
      </x:c>
      <x:c r="O64" s="13" t="str">
        <x:v>演奏窗口和清空手牌共同约束高段数回报。</x:v>
      </x:c>
      <x:c r="P64" s="13" t="str">
        <x:v>是</x:v>
      </x:c>
      <x:c r="Q64" s="13" t="str">
        <x:v>是</x:v>
      </x:c>
      <x:c r="R64" s="13" t="str">
        <x:v>是</x:v>
      </x:c>
      <x:c r="S64" s="13" t="str">
        <x:v>否</x:v>
      </x:c>
      <x:c r="T64" s="13" t="str">
        <x:v>是</x:v>
      </x:c>
      <x:c r="U64" s="13" t="str">
        <x:v>否</x:v>
      </x:c>
      <x:c r="V64" s="13" t="str">
        <x:v>否</x:v>
      </x:c>
      <x:c r="W64" s="13" t="str">
        <x:v>https://github.com/FFTYYY/sts2-MzmChar-mod/blob/03dc9add4db955351e05bcfce06cf2889f25a695/src/Game/CharacterContent/Cards/MuGrandFinale.cs#L50</x:v>
      </x:c>
    </x:row>
    <x:row r="65" ht="48" customHeight="1">
      <x:c r="A65" s="8" t="str">
        <x:v>MuMask</x:v>
      </x:c>
      <x:c r="B65" s="8" t="str">
        <x:v>面具</x:v>
      </x:c>
      <x:c r="C65" s="8" t="n">
        <x:v>1</x:v>
      </x:c>
      <x:c r="D65" s="8" t="str">
        <x:v>Skill</x:v>
      </x:c>
      <x:c r="E65" s="8" t="str">
        <x:v>Common</x:v>
      </x:c>
      <x:c r="F65" s="8" t="str">
        <x:v>获得1热情；切换形态。</x:v>
      </x:c>
      <x:c r="G65" s="8" t="str">
        <x:v>费用1→0。</x:v>
      </x:c>
      <x:c r="H65" s="8" t="str">
        <x:v>无固定关键词</x:v>
      </x:c>
      <x:c r="I65" s="8" t="str">
        <x:v>切换引擎、演奏会</x:v>
      </x:c>
      <x:c r="J65" s="8" t="str">
        <x:v>Generator / Enabler / Bridge</x:v>
      </x:c>
      <x:c r="K65" s="8" t="str">
        <x:v>费用</x:v>
      </x:c>
      <x:c r="L65" s="8" t="str">
        <x:v>普通奖励</x:v>
      </x:c>
      <x:c r="M65" s="8" t="str">
        <x:v>单人可用</x:v>
      </x:c>
      <x:c r="N65" s="8" t="str">
        <x:v>否</x:v>
      </x:c>
      <x:c r="O65" s="8" t="str">
        <x:v>同一张牌推进两个独立循环。</x:v>
      </x:c>
      <x:c r="P65" s="8" t="str">
        <x:v>是</x:v>
      </x:c>
      <x:c r="Q65" s="8" t="str">
        <x:v>否</x:v>
      </x:c>
      <x:c r="R65" s="8" t="str">
        <x:v>否</x:v>
      </x:c>
      <x:c r="S65" s="8" t="str">
        <x:v>是</x:v>
      </x:c>
      <x:c r="T65" s="8" t="str">
        <x:v>是</x:v>
      </x:c>
      <x:c r="U65" s="8" t="str">
        <x:v>否</x:v>
      </x:c>
      <x:c r="V65" s="8" t="str">
        <x:v>否</x:v>
      </x:c>
      <x:c r="W65" s="8" t="str">
        <x:v>https://github.com/FFTYYY/sts2-MzmChar-mod/blob/03dc9add4db955351e05bcfce06cf2889f25a695/src/Game/CharacterContent/Cards/MuMask.cs#L37</x:v>
      </x:c>
    </x:row>
    <x:row r="66" ht="48" customHeight="1">
      <x:c r="A66" s="13" t="str">
        <x:v>MuMonologue</x:v>
      </x:c>
      <x:c r="B66" s="13" t="str">
        <x:v>独白</x:v>
      </x:c>
      <x:c r="C66" s="13" t="n">
        <x:v>0</x:v>
      </x:c>
      <x:c r="D66" s="13" t="str">
        <x:v>Attack</x:v>
      </x:c>
      <x:c r="E66" s="13" t="str">
        <x:v>Common</x:v>
      </x:c>
      <x:c r="F66" s="13" t="str">
        <x:v>非演奏会：1热情；演奏会：5伤害×2。【虚无、消耗、演奏】</x:v>
      </x:c>
      <x:c r="G66" s="13" t="str">
        <x:v>次数2→3。</x:v>
      </x:c>
      <x:c r="H66" s="13" t="str">
        <x:v>虚无、消耗、演奏</x:v>
      </x:c>
      <x:c r="I66" s="13" t="str">
        <x:v>演奏会、力量活力多段</x:v>
      </x:c>
      <x:c r="J66" s="13" t="str">
        <x:v>Generator / Consumer / Payoff / Bridge</x:v>
      </x:c>
      <x:c r="K66" s="13" t="str">
        <x:v>数值</x:v>
      </x:c>
      <x:c r="L66" s="13" t="str">
        <x:v>普通奖励</x:v>
      </x:c>
      <x:c r="M66" s="13" t="str">
        <x:v>单人可用</x:v>
      </x:c>
      <x:c r="N66" s="13" t="str">
        <x:v>否</x:v>
      </x:c>
      <x:c r="O66" s="13" t="str">
        <x:v>演奏会把资源牌变成多段攻击。</x:v>
      </x:c>
      <x:c r="P66" s="13" t="str">
        <x:v>是</x:v>
      </x:c>
      <x:c r="Q66" s="13" t="str">
        <x:v>是</x:v>
      </x:c>
      <x:c r="R66" s="13" t="str">
        <x:v>是</x:v>
      </x:c>
      <x:c r="S66" s="13" t="str">
        <x:v>否</x:v>
      </x:c>
      <x:c r="T66" s="13" t="str">
        <x:v>是</x:v>
      </x:c>
      <x:c r="U66" s="13" t="str">
        <x:v>否</x:v>
      </x:c>
      <x:c r="V66" s="13" t="str">
        <x:v>否</x:v>
      </x:c>
      <x:c r="W66" s="13" t="str">
        <x:v>https://github.com/FFTYYY/sts2-MzmChar-mod/blob/03dc9add4db955351e05bcfce06cf2889f25a695/src/Game/CharacterContent/Cards/MuMonologue.cs#L46</x:v>
      </x:c>
    </x:row>
    <x:row r="67" ht="48" customHeight="1">
      <x:c r="A67" s="8" t="str">
        <x:v>MuOneForAll</x:v>
      </x:c>
      <x:c r="B67" s="8" t="str">
        <x:v>一心化万</x:v>
      </x:c>
      <x:c r="C67" s="8" t="n">
        <x:v>2</x:v>
      </x:c>
      <x:c r="D67" s="8" t="str">
        <x:v>Power</x:v>
      </x:c>
      <x:c r="E67" s="8" t="str">
        <x:v>Rare</x:v>
      </x:c>
      <x:c r="F67" s="8" t="str">
        <x:v>所有其他存活玩家进入睦，并各向抽牌堆加入使用者整副永久卡组的复制品，保留升级次数。</x:v>
      </x:c>
      <x:c r="G67" s="8" t="str">
        <x:v>费用2→1。</x:v>
      </x:c>
      <x:c r="H67" s="8" t="str">
        <x:v>无固定关键词</x:v>
      </x:c>
      <x:c r="I67" s="8" t="str">
        <x:v>生成协作、切换引擎</x:v>
      </x:c>
      <x:c r="J67" s="8" t="str">
        <x:v>Generator / Enabler / Bridge</x:v>
      </x:c>
      <x:c r="K67" s="8" t="str">
        <x:v>费用</x:v>
      </x:c>
      <x:c r="L67" s="8" t="str">
        <x:v>普通奖励</x:v>
      </x:c>
      <x:c r="M67" s="8" t="str">
        <x:v>仅多人</x:v>
      </x:c>
      <x:c r="N67" s="8" t="str">
        <x:v>否</x:v>
      </x:c>
      <x:c r="O67" s="8" t="str">
        <x:v>仅多人；不复制所有SavedProperty，不等于原封不动复制成长状态。</x:v>
      </x:c>
      <x:c r="P67" s="8" t="str">
        <x:v>是</x:v>
      </x:c>
      <x:c r="Q67" s="8" t="str">
        <x:v>否</x:v>
      </x:c>
      <x:c r="R67" s="8" t="str">
        <x:v>否</x:v>
      </x:c>
      <x:c r="S67" s="8" t="str">
        <x:v>是</x:v>
      </x:c>
      <x:c r="T67" s="8" t="str">
        <x:v>是</x:v>
      </x:c>
      <x:c r="U67" s="8" t="str">
        <x:v>否</x:v>
      </x:c>
      <x:c r="V67" s="8" t="str">
        <x:v>否</x:v>
      </x:c>
      <x:c r="W67" s="8" t="str">
        <x:v>https://github.com/FFTYYY/sts2-MzmChar-mod/blob/03dc9add4db955351e05bcfce06cf2889f25a695/src/Game/CharacterContent/Cards/MuOneForAll.cs#L41</x:v>
      </x:c>
    </x:row>
    <x:row r="68" ht="48" customHeight="1">
      <x:c r="A68" s="13" t="str">
        <x:v>MuStrike</x:v>
      </x:c>
      <x:c r="B68" s="13" t="str">
        <x:v>打击</x:v>
      </x:c>
      <x:c r="C68" s="13" t="n">
        <x:v>1</x:v>
      </x:c>
      <x:c r="D68" s="13" t="str">
        <x:v>Attack</x:v>
      </x:c>
      <x:c r="E68" s="13" t="str">
        <x:v>Basic</x:v>
      </x:c>
      <x:c r="F68" s="13" t="str">
        <x:v>睦：4活力与本回合1力量；墨：7伤害。</x:v>
      </x:c>
      <x:c r="G68" s="13" t="str">
        <x:v>活力4→5、临时力量1→2；伤害7→10。</x:v>
      </x:c>
      <x:c r="H68" s="13" t="str">
        <x:v>无固定关键词</x:v>
      </x:c>
      <x:c r="I68" s="13" t="str">
        <x:v>力量活力多段</x:v>
      </x:c>
      <x:c r="J68" s="13" t="str">
        <x:v>Generator / Consumer / Payoff</x:v>
      </x:c>
      <x:c r="K68" s="13" t="str">
        <x:v>数值</x:v>
      </x:c>
      <x:c r="L68" s="13" t="str">
        <x:v>初始</x:v>
      </x:c>
      <x:c r="M68" s="13" t="str">
        <x:v>单人可用</x:v>
      </x:c>
      <x:c r="N68" s="13" t="str">
        <x:v>否</x:v>
      </x:c>
      <x:c r="O68" s="13" t="str">
        <x:v>起始牌直接承担铺垫与兑现。</x:v>
      </x:c>
      <x:c r="P68" s="13" t="str">
        <x:v>是</x:v>
      </x:c>
      <x:c r="Q68" s="13" t="str">
        <x:v>是</x:v>
      </x:c>
      <x:c r="R68" s="13" t="str">
        <x:v>是</x:v>
      </x:c>
      <x:c r="S68" s="13" t="str">
        <x:v>否</x:v>
      </x:c>
      <x:c r="T68" s="13" t="str">
        <x:v>否</x:v>
      </x:c>
      <x:c r="U68" s="13" t="str">
        <x:v>否</x:v>
      </x:c>
      <x:c r="V68" s="13" t="str">
        <x:v>否</x:v>
      </x:c>
      <x:c r="W68" s="13" t="str">
        <x:v>https://github.com/FFTYYY/sts2-MzmChar-mod/blob/03dc9add4db955351e05bcfce06cf2889f25a695/src/Game/CharacterContent/Cards/MuStrike.cs#L51</x:v>
      </x:c>
    </x:row>
    <x:row r="69" ht="48" customHeight="1">
      <x:c r="A69" s="8" t="str">
        <x:v>MultipleMonster</x:v>
      </x:c>
      <x:c r="B69" s="8" t="str">
        <x:v>多首的怪物</x:v>
      </x:c>
      <x:c r="C69" s="8" t="n">
        <x:v>3</x:v>
      </x:c>
      <x:c r="D69" s="8" t="str">
        <x:v>Skill</x:v>
      </x:c>
      <x:c r="E69" s="8" t="str">
        <x:v>Rare</x:v>
      </x:c>
      <x:c r="F69" s="8" t="str">
        <x:v>获得等于本战斗实际切换总次数的转换人格层数。【虚无】</x:v>
      </x:c>
      <x:c r="G69" s="8" t="str">
        <x:v>移除虚无。</x:v>
      </x:c>
      <x:c r="H69" s="8" t="str">
        <x:v>虚无</x:v>
      </x:c>
      <x:c r="I69" s="8" t="str">
        <x:v>切换引擎</x:v>
      </x:c>
      <x:c r="J69" s="8" t="str">
        <x:v>Generator / Payoff / Build-around</x:v>
      </x:c>
      <x:c r="K69" s="8" t="str">
        <x:v>功能</x:v>
      </x:c>
      <x:c r="L69" s="8" t="str">
        <x:v>普通奖励</x:v>
      </x:c>
      <x:c r="M69" s="8" t="str">
        <x:v>单人可用</x:v>
      </x:c>
      <x:c r="N69" s="8" t="str">
        <x:v>否</x:v>
      </x:c>
      <x:c r="O69" s="8" t="str">
        <x:v>没有额外固定基础层数；0次切换则获得0。</x:v>
      </x:c>
      <x:c r="P69" s="8" t="str">
        <x:v>是</x:v>
      </x:c>
      <x:c r="Q69" s="8" t="str">
        <x:v>否</x:v>
      </x:c>
      <x:c r="R69" s="8" t="str">
        <x:v>是</x:v>
      </x:c>
      <x:c r="S69" s="8" t="str">
        <x:v>否</x:v>
      </x:c>
      <x:c r="T69" s="8" t="str">
        <x:v>否</x:v>
      </x:c>
      <x:c r="U69" s="8" t="str">
        <x:v>是</x:v>
      </x:c>
      <x:c r="V69" s="8" t="str">
        <x:v>否</x:v>
      </x:c>
      <x:c r="W69" s="8" t="str">
        <x:v>https://github.com/FFTYYY/sts2-MzmChar-mod/blob/03dc9add4db955351e05bcfce06cf2889f25a695/src/Game/CharacterContent/Cards/MultipleMonster.cs#L31</x:v>
      </x:c>
    </x:row>
    <x:row r="70" ht="48" customHeight="1">
      <x:c r="A70" s="13" t="str">
        <x:v>Mutsumi</x:v>
      </x:c>
      <x:c r="B70" s="13" t="str">
        <x:v>睦头人</x:v>
      </x:c>
      <x:c r="C70" s="13" t="n">
        <x:v>1</x:v>
      </x:c>
      <x:c r="D70" s="13" t="str">
        <x:v>Skill</x:v>
      </x:c>
      <x:c r="E70" s="13" t="str">
        <x:v>Uncommon</x:v>
      </x:c>
      <x:c r="F70" s="13" t="str">
        <x:v>睦：4格挡×2，进入墨；墨：全体1虚弱，本回合3敏捷，进入睦。</x:v>
      </x:c>
      <x:c r="G70" s="13" t="str">
        <x:v>睦额外本回合2力量；墨全体虚弱1→2。</x:v>
      </x:c>
      <x:c r="H70" s="13" t="str">
        <x:v>无固定关键词</x:v>
      </x:c>
      <x:c r="I70" s="13" t="str">
        <x:v>切换引擎、敏捷格挡转化</x:v>
      </x:c>
      <x:c r="J70" s="13" t="str">
        <x:v>Generator / Enabler / Payoff / Bridge</x:v>
      </x:c>
      <x:c r="K70" s="13" t="str">
        <x:v>混合</x:v>
      </x:c>
      <x:c r="L70" s="13" t="str">
        <x:v>普通奖励</x:v>
      </x:c>
      <x:c r="M70" s="13" t="str">
        <x:v>单人可用</x:v>
      </x:c>
      <x:c r="N70" s="13" t="str">
        <x:v>否</x:v>
      </x:c>
      <x:c r="O70" s="13" t="str">
        <x:v>多次格挡放大敏捷，同时在两形态间周转。</x:v>
      </x:c>
      <x:c r="P70" s="13" t="str">
        <x:v>是</x:v>
      </x:c>
      <x:c r="Q70" s="13" t="str">
        <x:v>否</x:v>
      </x:c>
      <x:c r="R70" s="13" t="str">
        <x:v>是</x:v>
      </x:c>
      <x:c r="S70" s="13" t="str">
        <x:v>是</x:v>
      </x:c>
      <x:c r="T70" s="13" t="str">
        <x:v>是</x:v>
      </x:c>
      <x:c r="U70" s="13" t="str">
        <x:v>否</x:v>
      </x:c>
      <x:c r="V70" s="13" t="str">
        <x:v>否</x:v>
      </x:c>
      <x:c r="W70" s="13" t="str">
        <x:v>https://github.com/FFTYYY/sts2-MzmChar-mod/blob/03dc9add4db955351e05bcfce06cf2889f25a695/src/Game/CharacterContent/Cards/Mutsumi.cs#L49</x:v>
      </x:c>
    </x:row>
    <x:row r="71" ht="48" customHeight="1">
      <x:c r="A71" s="8" t="str">
        <x:v>MutsumiCharge</x:v>
      </x:c>
      <x:c r="B71" s="8" t="str">
        <x:v>睦头人出击！</x:v>
      </x:c>
      <x:c r="C71" s="8" t="n">
        <x:v>0</x:v>
      </x:c>
      <x:c r="D71" s="8" t="str">
        <x:v>Attack</x:v>
      </x:c>
      <x:c r="E71" s="8" t="str">
        <x:v>Basic</x:v>
      </x:c>
      <x:c r="F71" s="8" t="str">
        <x:v>对目标造成0基础伤害×2。</x:v>
      </x:c>
      <x:c r="G71" s="8" t="str">
        <x:v>额外获得0基础格挡×2。</x:v>
      </x:c>
      <x:c r="H71" s="8" t="str">
        <x:v>无固定关键词</x:v>
      </x:c>
      <x:c r="I71" s="8" t="str">
        <x:v>力量活力多段</x:v>
      </x:c>
      <x:c r="J71" s="8" t="str">
        <x:v>Consumer / Payoff</x:v>
      </x:c>
      <x:c r="K71" s="8" t="str">
        <x:v>功能</x:v>
      </x:c>
      <x:c r="L71" s="8" t="str">
        <x:v>初始</x:v>
      </x:c>
      <x:c r="M71" s="8" t="str">
        <x:v>单人可用</x:v>
      </x:c>
      <x:c r="N71" s="8" t="str">
        <x:v>否</x:v>
      </x:c>
      <x:c r="O71" s="8" t="str">
        <x:v>升级后接敏捷；0基础值仍可承接属性修正，不是没有效果。</x:v>
      </x:c>
      <x:c r="P71" s="8" t="str">
        <x:v>否</x:v>
      </x:c>
      <x:c r="Q71" s="8" t="str">
        <x:v>是</x:v>
      </x:c>
      <x:c r="R71" s="8" t="str">
        <x:v>是</x:v>
      </x:c>
      <x:c r="S71" s="8" t="str">
        <x:v>否</x:v>
      </x:c>
      <x:c r="T71" s="8" t="str">
        <x:v>否</x:v>
      </x:c>
      <x:c r="U71" s="8" t="str">
        <x:v>否</x:v>
      </x:c>
      <x:c r="V71" s="8" t="str">
        <x:v>否</x:v>
      </x:c>
      <x:c r="W71" s="8" t="str">
        <x:v>https://github.com/FFTYYY/sts2-MzmChar-mod/blob/03dc9add4db955351e05bcfce06cf2889f25a695/src/Game/CharacterContent/Cards/MutsumiCharge.cs#L41</x:v>
      </x:c>
    </x:row>
    <x:row r="72" ht="48" customHeight="1">
      <x:c r="A72" s="13" t="str">
        <x:v>NeverHappyInBand</x:v>
      </x:c>
      <x:c r="B72" s="13" t="str">
        <x:v>从来没觉得玩乐队开心过</x:v>
      </x:c>
      <x:c r="C72" s="13" t="n">
        <x:v>1</x:v>
      </x:c>
      <x:c r="D72" s="13" t="str">
        <x:v>Skill</x:v>
      </x:c>
      <x:c r="E72" s="13" t="str">
        <x:v>Rare</x:v>
      </x:c>
      <x:c r="F72" s="13" t="str">
        <x:v>将消耗堆全部演奏牌移到抽牌堆，再把战斗各牌堆的全部演奏牌变为随机角色牌。【消耗】</x:v>
      </x:c>
      <x:c r="G72" s="13" t="str">
        <x:v>替换牌全部升级。</x:v>
      </x:c>
      <x:c r="H72" s="13" t="str">
        <x:v>消耗</x:v>
      </x:c>
      <x:c r="I72" s="13" t="str">
        <x:v>演奏会、生成协作</x:v>
      </x:c>
      <x:c r="J72" s="13" t="str">
        <x:v>Enabler / Bridge</x:v>
      </x:c>
      <x:c r="K72" s="13" t="str">
        <x:v>功能</x:v>
      </x:c>
      <x:c r="L72" s="13" t="str">
        <x:v>普通奖励</x:v>
      </x:c>
      <x:c r="M72" s="13" t="str">
        <x:v>单人可用</x:v>
      </x:c>
      <x:c r="N72" s="13" t="str">
        <x:v>否</x:v>
      </x:c>
      <x:c r="O72" s="13" t="str">
        <x:v>把演奏组件转换成生成牌路线，转换只限本战斗。</x:v>
      </x:c>
      <x:c r="P72" s="13" t="str">
        <x:v>否</x:v>
      </x:c>
      <x:c r="Q72" s="13" t="str">
        <x:v>否</x:v>
      </x:c>
      <x:c r="R72" s="13" t="str">
        <x:v>否</x:v>
      </x:c>
      <x:c r="S72" s="13" t="str">
        <x:v>是</x:v>
      </x:c>
      <x:c r="T72" s="13" t="str">
        <x:v>是</x:v>
      </x:c>
      <x:c r="U72" s="13" t="str">
        <x:v>否</x:v>
      </x:c>
      <x:c r="V72" s="13" t="str">
        <x:v>否</x:v>
      </x:c>
      <x:c r="W72" s="13" t="str">
        <x:v>https://github.com/FFTYYY/sts2-MzmChar-mod/blob/03dc9add4db955351e05bcfce06cf2889f25a695/src/Game/CharacterContent/Cards/NeverHappyInBand.cs#L38</x:v>
      </x:c>
    </x:row>
    <x:row r="73" ht="48" customHeight="1">
      <x:c r="A73" s="8" t="str">
        <x:v>NoStayingUp</x:v>
      </x:c>
      <x:c r="B73" s="8" t="str">
        <x:v>熬夜禁止</x:v>
      </x:c>
      <x:c r="C73" s="8" t="n">
        <x:v>1</x:v>
      </x:c>
      <x:c r="D73" s="8" t="str">
        <x:v>Skill</x:v>
      </x:c>
      <x:c r="E73" s="8" t="str">
        <x:v>Uncommon</x:v>
      </x:c>
      <x:c r="F73" s="8" t="str">
        <x:v>睦：每已有3力量再获得1力量；墨：下一次攻击保留活力。【消耗】</x:v>
      </x:c>
      <x:c r="G73" s="8" t="str">
        <x:v>移除消耗。</x:v>
      </x:c>
      <x:c r="H73" s="8" t="str">
        <x:v>消耗</x:v>
      </x:c>
      <x:c r="I73" s="8" t="str">
        <x:v>力量活力多段</x:v>
      </x:c>
      <x:c r="J73" s="8" t="str">
        <x:v>Generator / Enabler / Payoff / Build-around</x:v>
      </x:c>
      <x:c r="K73" s="8" t="str">
        <x:v>功能</x:v>
      </x:c>
      <x:c r="L73" s="8" t="str">
        <x:v>普通奖励</x:v>
      </x:c>
      <x:c r="M73" s="8" t="str">
        <x:v>单人可用</x:v>
      </x:c>
      <x:c r="N73" s="8" t="str">
        <x:v>否</x:v>
      </x:c>
      <x:c r="O73" s="8" t="str">
        <x:v>升级改变可重复成长与活力保留次数的上限。</x:v>
      </x:c>
      <x:c r="P73" s="8" t="str">
        <x:v>是</x:v>
      </x:c>
      <x:c r="Q73" s="8" t="str">
        <x:v>否</x:v>
      </x:c>
      <x:c r="R73" s="8" t="str">
        <x:v>是</x:v>
      </x:c>
      <x:c r="S73" s="8" t="str">
        <x:v>是</x:v>
      </x:c>
      <x:c r="T73" s="8" t="str">
        <x:v>否</x:v>
      </x:c>
      <x:c r="U73" s="8" t="str">
        <x:v>是</x:v>
      </x:c>
      <x:c r="V73" s="8" t="str">
        <x:v>否</x:v>
      </x:c>
      <x:c r="W73" s="8" t="str">
        <x:v>https://github.com/FFTYYY/sts2-MzmChar-mod/blob/03dc9add4db955351e05bcfce06cf2889f25a695/src/Game/CharacterContent/Cards/NoStayingUp.cs#L28</x:v>
      </x:c>
    </x:row>
    <x:row r="74" ht="48" customHeight="1">
      <x:c r="A74" s="13" t="str">
        <x:v>NobleHouse</x:v>
      </x:c>
      <x:c r="B74" s="13" t="str">
        <x:v>名门</x:v>
      </x:c>
      <x:c r="C74" s="13" t="n">
        <x:v>1</x:v>
      </x:c>
      <x:c r="D74" s="13" t="str">
        <x:v>Power</x:v>
      </x:c>
      <x:c r="E74" s="13" t="str">
        <x:v>Uncommon</x:v>
      </x:c>
      <x:c r="F74" s="13" t="str">
        <x:v>回合开始，每1当前热情获得3格挡。</x:v>
      </x:c>
      <x:c r="G74" s="13" t="str">
        <x:v>增加固有。</x:v>
      </x:c>
      <x:c r="H74" s="13" t="str">
        <x:v>无固定关键词</x:v>
      </x:c>
      <x:c r="I74" s="13" t="str">
        <x:v>演奏会、敏捷格挡转化</x:v>
      </x:c>
      <x:c r="J74" s="13" t="str">
        <x:v>Payoff / Build-around / Bridge</x:v>
      </x:c>
      <x:c r="K74" s="13" t="str">
        <x:v>功能</x:v>
      </x:c>
      <x:c r="L74" s="13" t="str">
        <x:v>普通奖励</x:v>
      </x:c>
      <x:c r="M74" s="13" t="str">
        <x:v>单人可用</x:v>
      </x:c>
      <x:c r="N74" s="13" t="str">
        <x:v>否</x:v>
      </x:c>
      <x:c r="O74" s="13" t="str">
        <x:v>热情存量转防御；格挡不受敏捷修正，可接格挡转活力。</x:v>
      </x:c>
      <x:c r="P74" s="13" t="str">
        <x:v>否</x:v>
      </x:c>
      <x:c r="Q74" s="13" t="str">
        <x:v>否</x:v>
      </x:c>
      <x:c r="R74" s="13" t="str">
        <x:v>是</x:v>
      </x:c>
      <x:c r="S74" s="13" t="str">
        <x:v>否</x:v>
      </x:c>
      <x:c r="T74" s="13" t="str">
        <x:v>是</x:v>
      </x:c>
      <x:c r="U74" s="13" t="str">
        <x:v>是</x:v>
      </x:c>
      <x:c r="V74" s="13" t="str">
        <x:v>否</x:v>
      </x:c>
      <x:c r="W74" s="13" t="str">
        <x:v>https://github.com/FFTYYY/sts2-MzmChar-mod/blob/03dc9add4db955351e05bcfce06cf2889f25a695/src/Game/CharacterContent/Cards/NobleHouse.cs#L42</x:v>
      </x:c>
    </x:row>
    <x:row r="75" ht="48" customHeight="1">
      <x:c r="A75" s="8" t="str">
        <x:v>Opening</x:v>
      </x:c>
      <x:c r="B75" s="8" t="str">
        <x:v>开幕</x:v>
      </x:c>
      <x:c r="C75" s="8" t="n">
        <x:v>1</x:v>
      </x:c>
      <x:c r="D75" s="8" t="str">
        <x:v>Attack</x:v>
      </x:c>
      <x:c r="E75" s="8" t="str">
        <x:v>Uncommon</x:v>
      </x:c>
      <x:c r="F75" s="8" t="str">
        <x:v>非演奏会：1热情；演奏会睦：本回合7力量；演奏会墨：全体20伤害。【虚无、消耗、演奏】</x:v>
      </x:c>
      <x:c r="G75" s="8" t="str">
        <x:v>力量7→9；伤害20→25。</x:v>
      </x:c>
      <x:c r="H75" s="8" t="str">
        <x:v>虚无、消耗、演奏</x:v>
      </x:c>
      <x:c r="I75" s="8" t="str">
        <x:v>演奏会、力量活力多段</x:v>
      </x:c>
      <x:c r="J75" s="8" t="str">
        <x:v>Generator / Payoff / Bridge</x:v>
      </x:c>
      <x:c r="K75" s="8" t="str">
        <x:v>数值</x:v>
      </x:c>
      <x:c r="L75" s="8" t="str">
        <x:v>普通奖励</x:v>
      </x:c>
      <x:c r="M75" s="8" t="str">
        <x:v>单人可用</x:v>
      </x:c>
      <x:c r="N75" s="8" t="str">
        <x:v>否</x:v>
      </x:c>
      <x:c r="O75" s="8" t="str">
        <x:v>演奏会先投资力量，再用其他多段演奏牌兑现。</x:v>
      </x:c>
      <x:c r="P75" s="8" t="str">
        <x:v>是</x:v>
      </x:c>
      <x:c r="Q75" s="8" t="str">
        <x:v>否</x:v>
      </x:c>
      <x:c r="R75" s="8" t="str">
        <x:v>是</x:v>
      </x:c>
      <x:c r="S75" s="8" t="str">
        <x:v>否</x:v>
      </x:c>
      <x:c r="T75" s="8" t="str">
        <x:v>是</x:v>
      </x:c>
      <x:c r="U75" s="8" t="str">
        <x:v>否</x:v>
      </x:c>
      <x:c r="V75" s="8" t="str">
        <x:v>否</x:v>
      </x:c>
      <x:c r="W75" s="8" t="str">
        <x:v>https://github.com/FFTYYY/sts2-MzmChar-mod/blob/03dc9add4db955351e05bcfce06cf2889f25a695/src/Game/CharacterContent/Cards/Opening.cs#L51</x:v>
      </x:c>
    </x:row>
    <x:row r="76" ht="48" customHeight="1">
      <x:c r="A76" s="13" t="str">
        <x:v>OutOfControl</x:v>
      </x:c>
      <x:c r="B76" s="13" t="str">
        <x:v>失控</x:v>
      </x:c>
      <x:c r="C76" s="13" t="n">
        <x:v>1</x:v>
      </x:c>
      <x:c r="D76" s="13" t="str">
        <x:v>Attack</x:v>
      </x:c>
      <x:c r="E76" s="13" t="str">
        <x:v>Common</x:v>
      </x:c>
      <x:c r="F76" s="13" t="str">
        <x:v>睦：6活力；墨：12伤害；然后随机进入睦或墨。</x:v>
      </x:c>
      <x:c r="G76" s="13" t="str">
        <x:v>活力6→8；伤害12→15。</x:v>
      </x:c>
      <x:c r="H76" s="13" t="str">
        <x:v>无固定关键词</x:v>
      </x:c>
      <x:c r="I76" s="13" t="str">
        <x:v>切换引擎、力量活力多段</x:v>
      </x:c>
      <x:c r="J76" s="13" t="str">
        <x:v>Generator / Payoff / Enabler / Bridge</x:v>
      </x:c>
      <x:c r="K76" s="13" t="str">
        <x:v>数值</x:v>
      </x:c>
      <x:c r="L76" s="13" t="str">
        <x:v>普通奖励</x:v>
      </x:c>
      <x:c r="M76" s="13" t="str">
        <x:v>单人可用</x:v>
      </x:c>
      <x:c r="N76" s="13" t="str">
        <x:v>否</x:v>
      </x:c>
      <x:c r="O76" s="13" t="str">
        <x:v>活力投资/兑现与随机形态推进；随机留在原形态不算切换。</x:v>
      </x:c>
      <x:c r="P76" s="13" t="str">
        <x:v>是</x:v>
      </x:c>
      <x:c r="Q76" s="13" t="str">
        <x:v>否</x:v>
      </x:c>
      <x:c r="R76" s="13" t="str">
        <x:v>是</x:v>
      </x:c>
      <x:c r="S76" s="13" t="str">
        <x:v>是</x:v>
      </x:c>
      <x:c r="T76" s="13" t="str">
        <x:v>是</x:v>
      </x:c>
      <x:c r="U76" s="13" t="str">
        <x:v>否</x:v>
      </x:c>
      <x:c r="V76" s="13" t="str">
        <x:v>否</x:v>
      </x:c>
      <x:c r="W76" s="13" t="str">
        <x:v>https://github.com/FFTYYY/sts2-MzmChar-mod/blob/03dc9add4db955351e05bcfce06cf2889f25a695/src/Game/CharacterContent/Cards/OutOfControl.cs#L44</x:v>
      </x:c>
    </x:row>
    <x:row r="77" ht="48" customHeight="1">
      <x:c r="A77" s="8" t="str">
        <x:v>Performance</x:v>
      </x:c>
      <x:c r="B77" s="8" t="str">
        <x:v>表演</x:v>
      </x:c>
      <x:c r="C77" s="8" t="n">
        <x:v>1</x:v>
      </x:c>
      <x:c r="D77" s="8" t="str">
        <x:v>Attack</x:v>
      </x:c>
      <x:c r="E77" s="8" t="str">
        <x:v>Common</x:v>
      </x:c>
      <x:c r="F77" s="8" t="str">
        <x:v>睦：7格挡、目标1虚弱，进入墨；墨：10伤害，进入睦。</x:v>
      </x:c>
      <x:c r="G77" s="8" t="str">
        <x:v>格挡7→10；虚弱1→2；伤害10→14。</x:v>
      </x:c>
      <x:c r="H77" s="8" t="str">
        <x:v>无固定关键词</x:v>
      </x:c>
      <x:c r="I77" s="8" t="str">
        <x:v>切换引擎</x:v>
      </x:c>
      <x:c r="J77" s="8" t="str">
        <x:v>Enabler / Utility</x:v>
      </x:c>
      <x:c r="K77" s="8" t="str">
        <x:v>数值</x:v>
      </x:c>
      <x:c r="L77" s="8" t="str">
        <x:v>普通奖励</x:v>
      </x:c>
      <x:c r="M77" s="8" t="str">
        <x:v>单人可用</x:v>
      </x:c>
      <x:c r="N77" s="8" t="str">
        <x:v>否</x:v>
      </x:c>
      <x:c r="O77" s="8" t="str">
        <x:v>普通牌承担双向切换和生存。</x:v>
      </x:c>
      <x:c r="P77" s="8" t="str">
        <x:v>否</x:v>
      </x:c>
      <x:c r="Q77" s="8" t="str">
        <x:v>否</x:v>
      </x:c>
      <x:c r="R77" s="8" t="str">
        <x:v>否</x:v>
      </x:c>
      <x:c r="S77" s="8" t="str">
        <x:v>是</x:v>
      </x:c>
      <x:c r="T77" s="8" t="str">
        <x:v>否</x:v>
      </x:c>
      <x:c r="U77" s="8" t="str">
        <x:v>否</x:v>
      </x:c>
      <x:c r="V77" s="8" t="str">
        <x:v>是</x:v>
      </x:c>
      <x:c r="W77" s="8" t="str">
        <x:v>https://github.com/FFTYYY/sts2-MzmChar-mod/blob/03dc9add4db955351e05bcfce06cf2889f25a695/src/Game/CharacterContent/Cards/Performance.cs#L45</x:v>
      </x:c>
    </x:row>
    <x:row r="78" ht="48" customHeight="1">
      <x:c r="A78" s="13" t="str">
        <x:v>PerformancePassion</x:v>
      </x:c>
      <x:c r="B78" s="13" t="str">
        <x:v>演艺热情</x:v>
      </x:c>
      <x:c r="C78" s="13" t="n">
        <x:v>1</x:v>
      </x:c>
      <x:c r="D78" s="13" t="str">
        <x:v>Skill</x:v>
      </x:c>
      <x:c r="E78" s="13" t="str">
        <x:v>Common</x:v>
      </x:c>
      <x:c r="F78" s="13" t="str">
        <x:v>抽2；获得1热情。</x:v>
      </x:c>
      <x:c r="G78" s="13" t="str">
        <x:v>抽2→3。</x:v>
      </x:c>
      <x:c r="H78" s="13" t="str">
        <x:v>无固定关键词</x:v>
      </x:c>
      <x:c r="I78" s="13" t="str">
        <x:v>演奏会</x:v>
      </x:c>
      <x:c r="J78" s="13" t="str">
        <x:v>Generator / Utility</x:v>
      </x:c>
      <x:c r="K78" s="13" t="str">
        <x:v>数值</x:v>
      </x:c>
      <x:c r="L78" s="13" t="str">
        <x:v>普通奖励</x:v>
      </x:c>
      <x:c r="M78" s="13" t="str">
        <x:v>单人可用</x:v>
      </x:c>
      <x:c r="N78" s="13" t="str">
        <x:v>否</x:v>
      </x:c>
      <x:c r="O78" s="13" t="str">
        <x:v>资源发生器附带过牌，减少构筑税。</x:v>
      </x:c>
      <x:c r="P78" s="13" t="str">
        <x:v>是</x:v>
      </x:c>
      <x:c r="Q78" s="13" t="str">
        <x:v>否</x:v>
      </x:c>
      <x:c r="R78" s="13" t="str">
        <x:v>否</x:v>
      </x:c>
      <x:c r="S78" s="13" t="str">
        <x:v>否</x:v>
      </x:c>
      <x:c r="T78" s="13" t="str">
        <x:v>否</x:v>
      </x:c>
      <x:c r="U78" s="13" t="str">
        <x:v>否</x:v>
      </x:c>
      <x:c r="V78" s="13" t="str">
        <x:v>是</x:v>
      </x:c>
      <x:c r="W78" s="13" t="str">
        <x:v>https://github.com/FFTYYY/sts2-MzmChar-mod/blob/03dc9add4db955351e05bcfce06cf2889f25a695/src/Game/CharacterContent/Cards/PerformancePassion.cs#L32</x:v>
      </x:c>
    </x:row>
    <x:row r="79" ht="48" customHeight="1">
      <x:c r="A79" s="8" t="str">
        <x:v>PhantomPersona</x:v>
      </x:c>
      <x:c r="B79" s="8" t="str">
        <x:v>幻想人格</x:v>
      </x:c>
      <x:c r="C79" s="8" t="n">
        <x:v>1</x:v>
      </x:c>
      <x:c r="D79" s="8" t="str">
        <x:v>Skill</x:v>
      </x:c>
      <x:c r="E79" s="8" t="str">
        <x:v>Uncommon</x:v>
      </x:c>
      <x:c r="F79" s="8" t="str">
        <x:v>移除正层数的若叶睦临时敏捷状态，已得到的敏捷本战斗不再因此失去。【消耗】</x:v>
      </x:c>
      <x:c r="G79" s="8" t="str">
        <x:v>向弃牌堆加入本牌带虚无的升级复制品。</x:v>
      </x:c>
      <x:c r="H79" s="8" t="str">
        <x:v>消耗</x:v>
      </x:c>
      <x:c r="I79" s="8" t="str">
        <x:v>敏捷格挡转化</x:v>
      </x:c>
      <x:c r="J79" s="8" t="str">
        <x:v>Enabler / Payoff / Build-around</x:v>
      </x:c>
      <x:c r="K79" s="8" t="str">
        <x:v>功能</x:v>
      </x:c>
      <x:c r="L79" s="8" t="str">
        <x:v>普通奖励</x:v>
      </x:c>
      <x:c r="M79" s="8" t="str">
        <x:v>单人可用</x:v>
      </x:c>
      <x:c r="N79" s="8" t="str">
        <x:v>否</x:v>
      </x:c>
      <x:c r="O79" s="8" t="str">
        <x:v>清除的是到期扣除标记，不是敏捷本体；负层数标记不会移除。</x:v>
      </x:c>
      <x:c r="P79" s="8" t="str">
        <x:v>否</x:v>
      </x:c>
      <x:c r="Q79" s="8" t="str">
        <x:v>否</x:v>
      </x:c>
      <x:c r="R79" s="8" t="str">
        <x:v>是</x:v>
      </x:c>
      <x:c r="S79" s="8" t="str">
        <x:v>是</x:v>
      </x:c>
      <x:c r="T79" s="8" t="str">
        <x:v>否</x:v>
      </x:c>
      <x:c r="U79" s="8" t="str">
        <x:v>是</x:v>
      </x:c>
      <x:c r="V79" s="8" t="str">
        <x:v>否</x:v>
      </x:c>
      <x:c r="W79" s="8" t="str">
        <x:v>https://github.com/FFTYYY/sts2-MzmChar-mod/blob/03dc9add4db955351e05bcfce06cf2889f25a695/src/Game/CharacterContent/Cards/PhantomPersona.cs#L44</x:v>
      </x:c>
    </x:row>
    <x:row r="80" ht="48" customHeight="1">
      <x:c r="A80" s="13" t="str">
        <x:v>PlantCucumber</x:v>
      </x:c>
      <x:c r="B80" s="13" t="str">
        <x:v>种植黄瓜</x:v>
      </x:c>
      <x:c r="C80" s="13" t="n">
        <x:v>2</x:v>
      </x:c>
      <x:c r="D80" s="13" t="str">
        <x:v>Power</x:v>
      </x:c>
      <x:c r="E80" s="13" t="str">
        <x:v>Uncommon</x:v>
      </x:c>
      <x:c r="F80" s="13" t="str">
        <x:v>每回合开始按当前形态：睦获得6格挡；墨获得4活力。</x:v>
      </x:c>
      <x:c r="G80" s="13" t="str">
        <x:v>格挡6→8；活力4→6。</x:v>
      </x:c>
      <x:c r="H80" s="13" t="str">
        <x:v>无固定关键词</x:v>
      </x:c>
      <x:c r="I80" s="13" t="str">
        <x:v>敏捷格挡转化、力量活力多段</x:v>
      </x:c>
      <x:c r="J80" s="13" t="str">
        <x:v>Generator / Bridge</x:v>
      </x:c>
      <x:c r="K80" s="13" t="str">
        <x:v>数值</x:v>
      </x:c>
      <x:c r="L80" s="13" t="str">
        <x:v>普通奖励</x:v>
      </x:c>
      <x:c r="M80" s="13" t="str">
        <x:v>单人可用</x:v>
      </x:c>
      <x:c r="N80" s="13" t="str">
        <x:v>否</x:v>
      </x:c>
      <x:c r="O80" s="13" t="str">
        <x:v>一份能力覆盖防御存量与下一次攻击资源；每份能力独立实例。</x:v>
      </x:c>
      <x:c r="P80" s="13" t="str">
        <x:v>是</x:v>
      </x:c>
      <x:c r="Q80" s="13" t="str">
        <x:v>否</x:v>
      </x:c>
      <x:c r="R80" s="13" t="str">
        <x:v>否</x:v>
      </x:c>
      <x:c r="S80" s="13" t="str">
        <x:v>否</x:v>
      </x:c>
      <x:c r="T80" s="13" t="str">
        <x:v>是</x:v>
      </x:c>
      <x:c r="U80" s="13" t="str">
        <x:v>否</x:v>
      </x:c>
      <x:c r="V80" s="13" t="str">
        <x:v>否</x:v>
      </x:c>
      <x:c r="W80" s="13" t="str">
        <x:v>https://github.com/FFTYYY/sts2-MzmChar-mod/blob/03dc9add4db955351e05bcfce06cf2889f25a695/src/Game/CharacterContent/Cards/PlantCucumber.cs#L39</x:v>
      </x:c>
    </x:row>
    <x:row r="81" ht="48" customHeight="1">
      <x:c r="A81" s="8" t="str">
        <x:v>PlayDoubleMoon</x:v>
      </x:c>
      <x:c r="B81" s="8" t="str">
        <x:v>演奏《双月》</x:v>
      </x:c>
      <x:c r="C81" s="8" t="n">
        <x:v>1</x:v>
      </x:c>
      <x:c r="D81" s="8" t="str">
        <x:v>Skill</x:v>
      </x:c>
      <x:c r="E81" s="8" t="str">
        <x:v>Uncommon</x:v>
      </x:c>
      <x:c r="F81" s="8" t="str">
        <x:v>非演奏会：1热情；演奏会：抽4，随后切换形态。【虚无、消耗、演奏】</x:v>
      </x:c>
      <x:c r="G81" s="8" t="str">
        <x:v>抽4→6。</x:v>
      </x:c>
      <x:c r="H81" s="8" t="str">
        <x:v>虚无、消耗、演奏</x:v>
      </x:c>
      <x:c r="I81" s="8" t="str">
        <x:v>演奏会、切换引擎</x:v>
      </x:c>
      <x:c r="J81" s="8" t="str">
        <x:v>Generator / Enabler / Bridge</x:v>
      </x:c>
      <x:c r="K81" s="8" t="str">
        <x:v>数值</x:v>
      </x:c>
      <x:c r="L81" s="8" t="str">
        <x:v>普通奖励</x:v>
      </x:c>
      <x:c r="M81" s="8" t="str">
        <x:v>单人可用</x:v>
      </x:c>
      <x:c r="N81" s="8" t="str">
        <x:v>否</x:v>
      </x:c>
      <x:c r="O81" s="8" t="str">
        <x:v>演奏窗口内过牌同时触发切换引擎。</x:v>
      </x:c>
      <x:c r="P81" s="8" t="str">
        <x:v>是</x:v>
      </x:c>
      <x:c r="Q81" s="8" t="str">
        <x:v>否</x:v>
      </x:c>
      <x:c r="R81" s="8" t="str">
        <x:v>否</x:v>
      </x:c>
      <x:c r="S81" s="8" t="str">
        <x:v>是</x:v>
      </x:c>
      <x:c r="T81" s="8" t="str">
        <x:v>是</x:v>
      </x:c>
      <x:c r="U81" s="8" t="str">
        <x:v>否</x:v>
      </x:c>
      <x:c r="V81" s="8" t="str">
        <x:v>否</x:v>
      </x:c>
      <x:c r="W81" s="8" t="str">
        <x:v>https://github.com/FFTYYY/sts2-MzmChar-mod/blob/03dc9add4db955351e05bcfce06cf2889f25a695/src/Game/CharacterContent/Cards/PlayDoubleMoon.cs#L44</x:v>
      </x:c>
    </x:row>
    <x:row r="82" ht="48" customHeight="1">
      <x:c r="A82" s="13" t="str">
        <x:v>PlayHaruhikage</x:v>
      </x:c>
      <x:c r="B82" s="13" t="str">
        <x:v>演奏《春日影》</x:v>
      </x:c>
      <x:c r="C82" s="13" t="n">
        <x:v>1</x:v>
      </x:c>
      <x:c r="D82" s="13" t="str">
        <x:v>Attack</x:v>
      </x:c>
      <x:c r="E82" s="13" t="str">
        <x:v>Uncommon</x:v>
      </x:c>
      <x:c r="F82" s="13" t="str">
        <x:v>非演奏会：1热情；演奏会睦：1无实体；演奏会墨：全体8伤害×2。【虚无、消耗、演奏】</x:v>
      </x:c>
      <x:c r="G82" s="13" t="str">
        <x:v>睦额外10格挡；每段8→12。</x:v>
      </x:c>
      <x:c r="H82" s="13" t="str">
        <x:v>虚无、消耗、演奏</x:v>
      </x:c>
      <x:c r="I82" s="13" t="str">
        <x:v>演奏会、力量活力多段</x:v>
      </x:c>
      <x:c r="J82" s="13" t="str">
        <x:v>Generator / Consumer / Payoff / Bridge</x:v>
      </x:c>
      <x:c r="K82" s="13" t="str">
        <x:v>混合</x:v>
      </x:c>
      <x:c r="L82" s="13" t="str">
        <x:v>普通奖励</x:v>
      </x:c>
      <x:c r="M82" s="13" t="str">
        <x:v>单人可用</x:v>
      </x:c>
      <x:c r="N82" s="13" t="str">
        <x:v>否</x:v>
      </x:c>
      <x:c r="O82" s="13" t="str">
        <x:v>同一窗口牌提供紧急防御或多段兑现。</x:v>
      </x:c>
      <x:c r="P82" s="13" t="str">
        <x:v>是</x:v>
      </x:c>
      <x:c r="Q82" s="13" t="str">
        <x:v>是</x:v>
      </x:c>
      <x:c r="R82" s="13" t="str">
        <x:v>是</x:v>
      </x:c>
      <x:c r="S82" s="13" t="str">
        <x:v>否</x:v>
      </x:c>
      <x:c r="T82" s="13" t="str">
        <x:v>是</x:v>
      </x:c>
      <x:c r="U82" s="13" t="str">
        <x:v>否</x:v>
      </x:c>
      <x:c r="V82" s="13" t="str">
        <x:v>否</x:v>
      </x:c>
      <x:c r="W82" s="13" t="str">
        <x:v>https://github.com/FFTYYY/sts2-MzmChar-mod/blob/03dc9add4db955351e05bcfce06cf2889f25a695/src/Game/CharacterContent/Cards/PlayHaruhikage.cs#L53</x:v>
      </x:c>
    </x:row>
    <x:row r="83" ht="48" customHeight="1">
      <x:c r="A83" s="8" t="str">
        <x:v>PlayKillkiss</x:v>
      </x:c>
      <x:c r="B83" s="8" t="str">
        <x:v>演奏《KillKiss》</x:v>
      </x:c>
      <x:c r="C83" s="8" t="n">
        <x:v>1</x:v>
      </x:c>
      <x:c r="D83" s="8" t="str">
        <x:v>Attack</x:v>
      </x:c>
      <x:c r="E83" s="8" t="str">
        <x:v>Rare</x:v>
      </x:c>
      <x:c r="F83" s="8" t="str">
        <x:v>非演奏会：1热情；演奏会睦：7覆甲；演奏会墨：24伤害。【虚无、消耗、演奏】</x:v>
      </x:c>
      <x:c r="G83" s="8" t="str">
        <x:v>覆甲7→9；伤害24→30。</x:v>
      </x:c>
      <x:c r="H83" s="8" t="str">
        <x:v>虚无、消耗、演奏</x:v>
      </x:c>
      <x:c r="I83" s="8" t="str">
        <x:v>演奏会</x:v>
      </x:c>
      <x:c r="J83" s="8" t="str">
        <x:v>Generator / Payoff / Utility</x:v>
      </x:c>
      <x:c r="K83" s="8" t="str">
        <x:v>数值</x:v>
      </x:c>
      <x:c r="L83" s="8" t="str">
        <x:v>普通奖励</x:v>
      </x:c>
      <x:c r="M83" s="8" t="str">
        <x:v>单人可用</x:v>
      </x:c>
      <x:c r="N83" s="8" t="str">
        <x:v>否</x:v>
      </x:c>
      <x:c r="O83" s="8" t="str">
        <x:v>演奏会的防御或单次伤害回报。</x:v>
      </x:c>
      <x:c r="P83" s="8" t="str">
        <x:v>是</x:v>
      </x:c>
      <x:c r="Q83" s="8" t="str">
        <x:v>否</x:v>
      </x:c>
      <x:c r="R83" s="8" t="str">
        <x:v>是</x:v>
      </x:c>
      <x:c r="S83" s="8" t="str">
        <x:v>否</x:v>
      </x:c>
      <x:c r="T83" s="8" t="str">
        <x:v>否</x:v>
      </x:c>
      <x:c r="U83" s="8" t="str">
        <x:v>否</x:v>
      </x:c>
      <x:c r="V83" s="8" t="str">
        <x:v>是</x:v>
      </x:c>
      <x:c r="W83" s="8" t="str">
        <x:v>https://github.com/FFTYYY/sts2-MzmChar-mod/blob/03dc9add4db955351e05bcfce06cf2889f25a695/src/Game/CharacterContent/Cards/PlayKillkiss.cs#L54</x:v>
      </x:c>
    </x:row>
    <x:row r="84" ht="48" customHeight="1">
      <x:c r="A84" s="13" t="str">
        <x:v>Pluck</x:v>
      </x:c>
      <x:c r="B84" s="13" t="str">
        <x:v>拨弦</x:v>
      </x:c>
      <x:c r="C84" s="13" t="n">
        <x:v>1</x:v>
      </x:c>
      <x:c r="D84" s="13" t="str">
        <x:v>Attack</x:v>
      </x:c>
      <x:c r="E84" s="13" t="str">
        <x:v>Common</x:v>
      </x:c>
      <x:c r="F84" s="13" t="str">
        <x:v>获得1热情。睦：4活力；墨：8伤害。</x:v>
      </x:c>
      <x:c r="G84" s="13" t="str">
        <x:v>活力4→6；伤害8→12。</x:v>
      </x:c>
      <x:c r="H84" s="13" t="str">
        <x:v>无固定关键词</x:v>
      </x:c>
      <x:c r="I84" s="13" t="str">
        <x:v>演奏会、力量活力多段</x:v>
      </x:c>
      <x:c r="J84" s="13" t="str">
        <x:v>Generator / Payoff / Bridge</x:v>
      </x:c>
      <x:c r="K84" s="13" t="str">
        <x:v>数值</x:v>
      </x:c>
      <x:c r="L84" s="13" t="str">
        <x:v>普通奖励</x:v>
      </x:c>
      <x:c r="M84" s="13" t="str">
        <x:v>单人可用</x:v>
      </x:c>
      <x:c r="N84" s="13" t="str">
        <x:v>否</x:v>
      </x:c>
      <x:c r="O84" s="13" t="str">
        <x:v>产热情同时推进活力攻击链。</x:v>
      </x:c>
      <x:c r="P84" s="13" t="str">
        <x:v>是</x:v>
      </x:c>
      <x:c r="Q84" s="13" t="str">
        <x:v>否</x:v>
      </x:c>
      <x:c r="R84" s="13" t="str">
        <x:v>是</x:v>
      </x:c>
      <x:c r="S84" s="13" t="str">
        <x:v>否</x:v>
      </x:c>
      <x:c r="T84" s="13" t="str">
        <x:v>是</x:v>
      </x:c>
      <x:c r="U84" s="13" t="str">
        <x:v>否</x:v>
      </x:c>
      <x:c r="V84" s="13" t="str">
        <x:v>否</x:v>
      </x:c>
      <x:c r="W84" s="13" t="str">
        <x:v>https://github.com/FFTYYY/sts2-MzmChar-mod/blob/03dc9add4db955351e05bcfce06cf2889f25a695/src/Game/CharacterContent/Cards/Pluck.cs#L43</x:v>
      </x:c>
    </x:row>
    <x:row r="85" ht="48" customHeight="1">
      <x:c r="A85" s="8" t="str">
        <x:v>Rebellion</x:v>
      </x:c>
      <x:c r="B85" s="8" t="str">
        <x:v>叛逆</x:v>
      </x:c>
      <x:c r="C85" s="8" t="n">
        <x:v>1</x:v>
      </x:c>
      <x:c r="D85" s="8" t="str">
        <x:v>Skill</x:v>
      </x:c>
      <x:c r="E85" s="8" t="str">
        <x:v>Rare</x:v>
      </x:c>
      <x:c r="F85" s="8" t="str">
        <x:v>把手牌、抽牌堆、弃牌堆所有带Strike标签的牌变为随机无色牌。【消耗】</x:v>
      </x:c>
      <x:c r="G85" s="8" t="str">
        <x:v>替换牌全部升级。</x:v>
      </x:c>
      <x:c r="H85" s="8" t="str">
        <x:v>消耗</x:v>
      </x:c>
      <x:c r="I85" s="8" t="str">
        <x:v>生成协作</x:v>
      </x:c>
      <x:c r="J85" s="8" t="str">
        <x:v>Enabler / Utility</x:v>
      </x:c>
      <x:c r="K85" s="8" t="str">
        <x:v>功能</x:v>
      </x:c>
      <x:c r="L85" s="8" t="str">
        <x:v>普通奖励</x:v>
      </x:c>
      <x:c r="M85" s="8" t="str">
        <x:v>单人可用</x:v>
      </x:c>
      <x:c r="N85" s="8" t="str">
        <x:v>否</x:v>
      </x:c>
      <x:c r="O85" s="8" t="str">
        <x:v>只变本战斗副本，消耗堆不在扫描范围。</x:v>
      </x:c>
      <x:c r="P85" s="8" t="str">
        <x:v>否</x:v>
      </x:c>
      <x:c r="Q85" s="8" t="str">
        <x:v>否</x:v>
      </x:c>
      <x:c r="R85" s="8" t="str">
        <x:v>否</x:v>
      </x:c>
      <x:c r="S85" s="8" t="str">
        <x:v>是</x:v>
      </x:c>
      <x:c r="T85" s="8" t="str">
        <x:v>否</x:v>
      </x:c>
      <x:c r="U85" s="8" t="str">
        <x:v>否</x:v>
      </x:c>
      <x:c r="V85" s="8" t="str">
        <x:v>是</x:v>
      </x:c>
      <x:c r="W85" s="8" t="str">
        <x:v>https://github.com/FFTYYY/sts2-MzmChar-mod/blob/03dc9add4db955351e05bcfce06cf2889f25a695/src/Game/CharacterContent/Cards/Rebellion.cs#L31</x:v>
      </x:c>
    </x:row>
    <x:row r="86" ht="48" customHeight="1">
      <x:c r="A86" s="13" t="str">
        <x:v>Reborn</x:v>
      </x:c>
      <x:c r="B86" s="13" t="str">
        <x:v>重生</x:v>
      </x:c>
      <x:c r="C86" s="13" t="n">
        <x:v>4</x:v>
      </x:c>
      <x:c r="D86" s="13" t="str">
        <x:v>Skill</x:v>
      </x:c>
      <x:c r="E86" s="13" t="str">
        <x:v>Rare</x:v>
      </x:c>
      <x:c r="F86" s="13" t="str">
        <x:v>移除坠入深渊；对所有敌人造成35伤害；获得10格挡。【消耗】</x:v>
      </x:c>
      <x:c r="G86" s="13" t="str">
        <x:v>费用4→3。</x:v>
      </x:c>
      <x:c r="H86" s="13" t="str">
        <x:v>消耗</x:v>
      </x:c>
      <x:c r="I86" s="13" t="str">
        <x:v>切换引擎</x:v>
      </x:c>
      <x:c r="J86" s="13" t="str">
        <x:v>Enabler / Utility</x:v>
      </x:c>
      <x:c r="K86" s="13" t="str">
        <x:v>费用</x:v>
      </x:c>
      <x:c r="L86" s="13" t="str">
        <x:v>普通奖励</x:v>
      </x:c>
      <x:c r="M86" s="13" t="str">
        <x:v>单人可用</x:v>
      </x:c>
      <x:c r="N86" s="13" t="str">
        <x:v>否</x:v>
      </x:c>
      <x:c r="O86" s="13" t="str">
        <x:v>解除切换锁，但不会自动切到睦；卡牌类型为Skill而执行攻击命令。</x:v>
      </x:c>
      <x:c r="P86" s="13" t="str">
        <x:v>否</x:v>
      </x:c>
      <x:c r="Q86" s="13" t="str">
        <x:v>否</x:v>
      </x:c>
      <x:c r="R86" s="13" t="str">
        <x:v>否</x:v>
      </x:c>
      <x:c r="S86" s="13" t="str">
        <x:v>是</x:v>
      </x:c>
      <x:c r="T86" s="13" t="str">
        <x:v>否</x:v>
      </x:c>
      <x:c r="U86" s="13" t="str">
        <x:v>否</x:v>
      </x:c>
      <x:c r="V86" s="13" t="str">
        <x:v>是</x:v>
      </x:c>
      <x:c r="W86" s="13" t="str">
        <x:v>https://github.com/FFTYYY/sts2-MzmChar-mod/blob/03dc9add4db955351e05bcfce06cf2889f25a695/src/Game/CharacterContent/Cards/Reborn.cs#L41</x:v>
      </x:c>
    </x:row>
    <x:row r="87" ht="48" customHeight="1">
      <x:c r="A87" s="8" t="str">
        <x:v>Reminisce</x:v>
      </x:c>
      <x:c r="B87" s="8" t="str">
        <x:v>回忆</x:v>
      </x:c>
      <x:c r="C87" s="8" t="n">
        <x:v>1</x:v>
      </x:c>
      <x:c r="D87" s="8" t="str">
        <x:v>Attack</x:v>
      </x:c>
      <x:c r="E87" s="8" t="str">
        <x:v>Common</x:v>
      </x:c>
      <x:c r="F87" s="8" t="str">
        <x:v>睦：全体1虚弱、1易伤，进入墨；墨：全体9伤害，进入睦。</x:v>
      </x:c>
      <x:c r="G87" s="8" t="str">
        <x:v>两种减益1→2；伤害9→12。</x:v>
      </x:c>
      <x:c r="H87" s="8" t="str">
        <x:v>无固定关键词</x:v>
      </x:c>
      <x:c r="I87" s="8" t="str">
        <x:v>切换引擎、力量活力多段</x:v>
      </x:c>
      <x:c r="J87" s="8" t="str">
        <x:v>Generator / Enabler / Bridge / Utility</x:v>
      </x:c>
      <x:c r="K87" s="8" t="str">
        <x:v>数值</x:v>
      </x:c>
      <x:c r="L87" s="8" t="str">
        <x:v>普通奖励</x:v>
      </x:c>
      <x:c r="M87" s="8" t="str">
        <x:v>单人可用</x:v>
      </x:c>
      <x:c r="N87" s="8" t="str">
        <x:v>否</x:v>
      </x:c>
      <x:c r="O87" s="8" t="str">
        <x:v>切换同时布置易伤，连接下一轮攻击。</x:v>
      </x:c>
      <x:c r="P87" s="8" t="str">
        <x:v>是</x:v>
      </x:c>
      <x:c r="Q87" s="8" t="str">
        <x:v>否</x:v>
      </x:c>
      <x:c r="R87" s="8" t="str">
        <x:v>否</x:v>
      </x:c>
      <x:c r="S87" s="8" t="str">
        <x:v>是</x:v>
      </x:c>
      <x:c r="T87" s="8" t="str">
        <x:v>是</x:v>
      </x:c>
      <x:c r="U87" s="8" t="str">
        <x:v>否</x:v>
      </x:c>
      <x:c r="V87" s="8" t="str">
        <x:v>是</x:v>
      </x:c>
      <x:c r="W87" s="8" t="str">
        <x:v>https://github.com/FFTYYY/sts2-MzmChar-mod/blob/03dc9add4db955351e05bcfce06cf2889f25a695/src/Game/CharacterContent/Cards/Reminisce.cs#L46</x:v>
      </x:c>
    </x:row>
    <x:row r="88" ht="48" customHeight="1">
      <x:c r="A88" s="13" t="str">
        <x:v>SelfIsolate</x:v>
      </x:c>
      <x:c r="B88" s="13" t="str">
        <x:v>自闭</x:v>
      </x:c>
      <x:c r="C88" s="13" t="n">
        <x:v>0</x:v>
      </x:c>
      <x:c r="D88" s="13" t="str">
        <x:v>Skill</x:v>
      </x:c>
      <x:c r="E88" s="13" t="str">
        <x:v>Common</x:v>
      </x:c>
      <x:c r="F88" s="13" t="str">
        <x:v>睦：5格挡；墨：获得1能量、自身1虚弱、进入睦。</x:v>
      </x:c>
      <x:c r="G88" s="13" t="str">
        <x:v>格挡5→8；取消自身虚弱。</x:v>
      </x:c>
      <x:c r="H88" s="13" t="str">
        <x:v>无固定关键词</x:v>
      </x:c>
      <x:c r="I88" s="13" t="str">
        <x:v>切换引擎</x:v>
      </x:c>
      <x:c r="J88" s="13" t="str">
        <x:v>Generator / Enabler / Utility</x:v>
      </x:c>
      <x:c r="K88" s="13" t="str">
        <x:v>混合</x:v>
      </x:c>
      <x:c r="L88" s="13" t="str">
        <x:v>普通奖励</x:v>
      </x:c>
      <x:c r="M88" s="13" t="str">
        <x:v>单人可用</x:v>
      </x:c>
      <x:c r="N88" s="13" t="str">
        <x:v>否</x:v>
      </x:c>
      <x:c r="O88" s="13" t="str">
        <x:v>取消负面效果使出牌顺序更自由。</x:v>
      </x:c>
      <x:c r="P88" s="13" t="str">
        <x:v>是</x:v>
      </x:c>
      <x:c r="Q88" s="13" t="str">
        <x:v>否</x:v>
      </x:c>
      <x:c r="R88" s="13" t="str">
        <x:v>否</x:v>
      </x:c>
      <x:c r="S88" s="13" t="str">
        <x:v>是</x:v>
      </x:c>
      <x:c r="T88" s="13" t="str">
        <x:v>否</x:v>
      </x:c>
      <x:c r="U88" s="13" t="str">
        <x:v>否</x:v>
      </x:c>
      <x:c r="V88" s="13" t="str">
        <x:v>是</x:v>
      </x:c>
      <x:c r="W88" s="13" t="str">
        <x:v>https://github.com/FFTYYY/sts2-MzmChar-mod/blob/03dc9add4db955351e05bcfce06cf2889f25a695/src/Game/CharacterContent/Cards/SelfIsolate.cs#L47</x:v>
      </x:c>
    </x:row>
    <x:row r="89" ht="48" customHeight="1">
      <x:c r="A89" s="8" t="str">
        <x:v>Sidekick</x:v>
      </x:c>
      <x:c r="B89" s="8" t="str">
        <x:v>小跟班</x:v>
      </x:c>
      <x:c r="C89" s="8" t="n">
        <x:v>1</x:v>
      </x:c>
      <x:c r="D89" s="8" t="str">
        <x:v>Attack</x:v>
      </x:c>
      <x:c r="E89" s="8" t="str">
        <x:v>Uncommon</x:v>
      </x:c>
      <x:c r="F89" s="8" t="str">
        <x:v>睦：给至多2张手牌添加虚无；墨：12伤害。</x:v>
      </x:c>
      <x:c r="G89" s="8" t="str">
        <x:v>最多选2→3；伤害12→14。</x:v>
      </x:c>
      <x:c r="H89" s="8" t="str">
        <x:v>无固定关键词</x:v>
      </x:c>
      <x:c r="I89" s="8" t="str">
        <x:v>虚无压缩</x:v>
      </x:c>
      <x:c r="J89" s="8" t="str">
        <x:v>Enabler / Utility</x:v>
      </x:c>
      <x:c r="K89" s="8" t="str">
        <x:v>数值</x:v>
      </x:c>
      <x:c r="L89" s="8" t="str">
        <x:v>普通奖励</x:v>
      </x:c>
      <x:c r="M89" s="8" t="str">
        <x:v>单人可用</x:v>
      </x:c>
      <x:c r="N89" s="8" t="str">
        <x:v>否</x:v>
      </x:c>
      <x:c r="O89" s="8" t="str">
        <x:v>主动设置回合结束压缩，不是立刻消耗选中牌。</x:v>
      </x:c>
      <x:c r="P89" s="8" t="str">
        <x:v>否</x:v>
      </x:c>
      <x:c r="Q89" s="8" t="str">
        <x:v>否</x:v>
      </x:c>
      <x:c r="R89" s="8" t="str">
        <x:v>否</x:v>
      </x:c>
      <x:c r="S89" s="8" t="str">
        <x:v>是</x:v>
      </x:c>
      <x:c r="T89" s="8" t="str">
        <x:v>否</x:v>
      </x:c>
      <x:c r="U89" s="8" t="str">
        <x:v>否</x:v>
      </x:c>
      <x:c r="V89" s="8" t="str">
        <x:v>是</x:v>
      </x:c>
      <x:c r="W89" s="8" t="str">
        <x:v>https://github.com/FFTYYY/sts2-MzmChar-mod/blob/03dc9add4db955351e05bcfce06cf2889f25a695/src/Game/CharacterContent/Cards/Sidekick.cs#L34</x:v>
      </x:c>
    </x:row>
    <x:row r="90" ht="48" customHeight="1">
      <x:c r="A90" s="13" t="str">
        <x:v>Silence</x:v>
      </x:c>
      <x:c r="B90" s="13" t="str">
        <x:v>沉默</x:v>
      </x:c>
      <x:c r="C90" s="13" t="n">
        <x:v>1</x:v>
      </x:c>
      <x:c r="D90" s="13" t="str">
        <x:v>Skill</x:v>
      </x:c>
      <x:c r="E90" s="13" t="str">
        <x:v>Uncommon</x:v>
      </x:c>
      <x:c r="F90" s="13" t="str">
        <x:v>睦：抽(1+本回合此前墨出牌数)；墨：5格挡并进入睦。</x:v>
      </x:c>
      <x:c r="G90" s="13" t="str">
        <x:v>每张墨牌额外抽牌1→2；格挡5→8。</x:v>
      </x:c>
      <x:c r="H90" s="13" t="str">
        <x:v>无固定关键词</x:v>
      </x:c>
      <x:c r="I90" s="13" t="str">
        <x:v>切换引擎</x:v>
      </x:c>
      <x:c r="J90" s="13" t="str">
        <x:v>Generator / Payoff / Utility</x:v>
      </x:c>
      <x:c r="K90" s="13" t="str">
        <x:v>数值</x:v>
      </x:c>
      <x:c r="L90" s="13" t="str">
        <x:v>普通奖励</x:v>
      </x:c>
      <x:c r="M90" s="13" t="str">
        <x:v>单人可用</x:v>
      </x:c>
      <x:c r="N90" s="13" t="str">
        <x:v>否</x:v>
      </x:c>
      <x:c r="O90" s="13" t="str">
        <x:v>墨的出牌历史补充睦的手牌，再继续转换。</x:v>
      </x:c>
      <x:c r="P90" s="13" t="str">
        <x:v>是</x:v>
      </x:c>
      <x:c r="Q90" s="13" t="str">
        <x:v>否</x:v>
      </x:c>
      <x:c r="R90" s="13" t="str">
        <x:v>是</x:v>
      </x:c>
      <x:c r="S90" s="13" t="str">
        <x:v>否</x:v>
      </x:c>
      <x:c r="T90" s="13" t="str">
        <x:v>否</x:v>
      </x:c>
      <x:c r="U90" s="13" t="str">
        <x:v>否</x:v>
      </x:c>
      <x:c r="V90" s="13" t="str">
        <x:v>是</x:v>
      </x:c>
      <x:c r="W90" s="13" t="str">
        <x:v>https://github.com/FFTYYY/sts2-MzmChar-mod/blob/03dc9add4db955351e05bcfce06cf2889f25a695/src/Game/CharacterContent/Cards/Silence.cs#L33</x:v>
      </x:c>
    </x:row>
    <x:row r="91" ht="48" customHeight="1">
      <x:c r="A91" s="8" t="str">
        <x:v>StairsTumble</x:v>
      </x:c>
      <x:c r="B91" s="8" t="str">
        <x:v>楼梯打滚</x:v>
      </x:c>
      <x:c r="C91" s="8" t="n">
        <x:v>1</x:v>
      </x:c>
      <x:c r="D91" s="8" t="str">
        <x:v>Attack</x:v>
      </x:c>
      <x:c r="E91" s="8" t="str">
        <x:v>Common</x:v>
      </x:c>
      <x:c r="F91" s="8" t="str">
        <x:v>睦：5活力、目标1易伤；墨：4伤害×2。</x:v>
      </x:c>
      <x:c r="G91" s="8" t="str">
        <x:v>活力5→7；易伤1→2；每段4→7。</x:v>
      </x:c>
      <x:c r="H91" s="8" t="str">
        <x:v>无固定关键词</x:v>
      </x:c>
      <x:c r="I91" s="8" t="str">
        <x:v>力量活力多段</x:v>
      </x:c>
      <x:c r="J91" s="8" t="str">
        <x:v>Generator / Consumer / Payoff</x:v>
      </x:c>
      <x:c r="K91" s="8" t="str">
        <x:v>数值</x:v>
      </x:c>
      <x:c r="L91" s="8" t="str">
        <x:v>普通奖励</x:v>
      </x:c>
      <x:c r="M91" s="8" t="str">
        <x:v>单人可用</x:v>
      </x:c>
      <x:c r="N91" s="8" t="str">
        <x:v>否</x:v>
      </x:c>
      <x:c r="O91" s="8" t="str">
        <x:v>普通牌同时提供攻击链的资源和多段出口。</x:v>
      </x:c>
      <x:c r="P91" s="8" t="str">
        <x:v>是</x:v>
      </x:c>
      <x:c r="Q91" s="8" t="str">
        <x:v>是</x:v>
      </x:c>
      <x:c r="R91" s="8" t="str">
        <x:v>是</x:v>
      </x:c>
      <x:c r="S91" s="8" t="str">
        <x:v>否</x:v>
      </x:c>
      <x:c r="T91" s="8" t="str">
        <x:v>否</x:v>
      </x:c>
      <x:c r="U91" s="8" t="str">
        <x:v>否</x:v>
      </x:c>
      <x:c r="V91" s="8" t="str">
        <x:v>否</x:v>
      </x:c>
      <x:c r="W91" s="8" t="str">
        <x:v>https://github.com/FFTYYY/sts2-MzmChar-mod/blob/03dc9add4db955351e05bcfce06cf2889f25a695/src/Game/CharacterContent/Cards/StairsTumble.cs#L45</x:v>
      </x:c>
    </x:row>
    <x:row r="92" ht="48" customHeight="1">
      <x:c r="A92" s="13" t="str">
        <x:v>Surveillance</x:v>
      </x:c>
      <x:c r="B92" s="13" t="str">
        <x:v>盯——</x:v>
      </x:c>
      <x:c r="C92" s="13" t="n">
        <x:v>1</x:v>
      </x:c>
      <x:c r="D92" s="13" t="str">
        <x:v>Skill</x:v>
      </x:c>
      <x:c r="E92" s="13" t="str">
        <x:v>Uncommon</x:v>
      </x:c>
      <x:c r="F92" s="13" t="str">
        <x:v>睦：本回合每次获得格挡同时获得等量活力；墨：随机敌人5伤害、本回合3敏捷、进入睦。</x:v>
      </x:c>
      <x:c r="G92" s="13" t="str">
        <x:v>睦额外保留格挡至下次回合开始；伤害5→7、敏捷3→4。</x:v>
      </x:c>
      <x:c r="H92" s="13" t="str">
        <x:v>无固定关键词</x:v>
      </x:c>
      <x:c r="I92" s="13" t="str">
        <x:v>敏捷格挡转化、力量活力多段、切换引擎</x:v>
      </x:c>
      <x:c r="J92" s="13" t="str">
        <x:v>Enabler / Payoff / Build-around / Bridge</x:v>
      </x:c>
      <x:c r="K92" s="13" t="str">
        <x:v>混合</x:v>
      </x:c>
      <x:c r="L92" s="13" t="str">
        <x:v>普通奖励</x:v>
      </x:c>
      <x:c r="M92" s="13" t="str">
        <x:v>单人可用</x:v>
      </x:c>
      <x:c r="N92" s="13" t="str">
        <x:v>否</x:v>
      </x:c>
      <x:c r="O92" s="13" t="str">
        <x:v>明确把格挡变成活力，防御体系可以给攻击供能。</x:v>
      </x:c>
      <x:c r="P92" s="13" t="str">
        <x:v>否</x:v>
      </x:c>
      <x:c r="Q92" s="13" t="str">
        <x:v>否</x:v>
      </x:c>
      <x:c r="R92" s="13" t="str">
        <x:v>是</x:v>
      </x:c>
      <x:c r="S92" s="13" t="str">
        <x:v>是</x:v>
      </x:c>
      <x:c r="T92" s="13" t="str">
        <x:v>是</x:v>
      </x:c>
      <x:c r="U92" s="13" t="str">
        <x:v>是</x:v>
      </x:c>
      <x:c r="V92" s="13" t="str">
        <x:v>否</x:v>
      </x:c>
      <x:c r="W92" s="13" t="str">
        <x:v>https://github.com/FFTYYY/sts2-MzmChar-mod/blob/03dc9add4db955351e05bcfce06cf2889f25a695/src/Game/CharacterContent/Cards/Surveillance.cs#L50</x:v>
      </x:c>
    </x:row>
    <x:row r="93" ht="48" customHeight="1">
      <x:c r="A93" s="8" t="str">
        <x:v>SwitchPersona</x:v>
      </x:c>
      <x:c r="B93" s="8" t="str">
        <x:v>人格转换</x:v>
      </x:c>
      <x:c r="C93" s="8" t="n">
        <x:v>1</x:v>
      </x:c>
      <x:c r="D93" s="8" t="str">
        <x:v>Skill</x:v>
      </x:c>
      <x:c r="E93" s="8" t="str">
        <x:v>Basic</x:v>
      </x:c>
      <x:c r="F93" s="8" t="str">
        <x:v>获得本回合2力量、2敏捷；切换形态。</x:v>
      </x:c>
      <x:c r="G93" s="8" t="str">
        <x:v>费用1→0。</x:v>
      </x:c>
      <x:c r="H93" s="8" t="str">
        <x:v>无固定关键词</x:v>
      </x:c>
      <x:c r="I93" s="8" t="str">
        <x:v>切换引擎、力量活力多段、敏捷格挡转化</x:v>
      </x:c>
      <x:c r="J93" s="8" t="str">
        <x:v>Generator / Enabler / Bridge</x:v>
      </x:c>
      <x:c r="K93" s="8" t="str">
        <x:v>费用</x:v>
      </x:c>
      <x:c r="L93" s="8" t="str">
        <x:v>初始</x:v>
      </x:c>
      <x:c r="M93" s="8" t="str">
        <x:v>单人可用</x:v>
      </x:c>
      <x:c r="N93" s="8" t="str">
        <x:v>否</x:v>
      </x:c>
      <x:c r="O93" s="8" t="str">
        <x:v>初始牌就连接形态与两种属性。</x:v>
      </x:c>
      <x:c r="P93" s="8" t="str">
        <x:v>是</x:v>
      </x:c>
      <x:c r="Q93" s="8" t="str">
        <x:v>否</x:v>
      </x:c>
      <x:c r="R93" s="8" t="str">
        <x:v>否</x:v>
      </x:c>
      <x:c r="S93" s="8" t="str">
        <x:v>是</x:v>
      </x:c>
      <x:c r="T93" s="8" t="str">
        <x:v>是</x:v>
      </x:c>
      <x:c r="U93" s="8" t="str">
        <x:v>否</x:v>
      </x:c>
      <x:c r="V93" s="8" t="str">
        <x:v>否</x:v>
      </x:c>
      <x:c r="W93" s="8" t="str">
        <x:v>https://github.com/FFTYYY/sts2-MzmChar-mod/blob/03dc9add4db955351e05bcfce06cf2889f25a695/src/Game/CharacterContent/Cards/SwitchPersona.cs#L38</x:v>
      </x:c>
    </x:row>
    <x:row r="94" ht="48" customHeight="1">
      <x:c r="A94" s="13" t="str">
        <x:v>TearMaskGold</x:v>
      </x:c>
      <x:c r="B94" s="13" t="str">
        <x:v>撕下面具</x:v>
      </x:c>
      <x:c r="C94" s="13" t="n">
        <x:v>1</x:v>
      </x:c>
      <x:c r="D94" s="13" t="str">
        <x:v>Skill</x:v>
      </x:c>
      <x:c r="E94" s="13" t="str">
        <x:v>Rare</x:v>
      </x:c>
      <x:c r="F94" s="13" t="str">
        <x:v>睦：2格挡×4；墨：获得1能量、5活力并进入睦。</x:v>
      </x:c>
      <x:c r="G94" s="13" t="str">
        <x:v>每次格挡2→3；能量1→2。</x:v>
      </x:c>
      <x:c r="H94" s="13" t="str">
        <x:v>无固定关键词</x:v>
      </x:c>
      <x:c r="I94" s="13" t="str">
        <x:v>敏捷格挡转化、力量活力多段、切换引擎</x:v>
      </x:c>
      <x:c r="J94" s="13" t="str">
        <x:v>Generator / Payoff / Bridge</x:v>
      </x:c>
      <x:c r="K94" s="13" t="str">
        <x:v>数值</x:v>
      </x:c>
      <x:c r="L94" s="13" t="str">
        <x:v>普通奖励</x:v>
      </x:c>
      <x:c r="M94" s="13" t="str">
        <x:v>单人可用</x:v>
      </x:c>
      <x:c r="N94" s="13" t="str">
        <x:v>否</x:v>
      </x:c>
      <x:c r="O94" s="13" t="str">
        <x:v>多次格挡放大敏捷；另一分支补充活力与切换。</x:v>
      </x:c>
      <x:c r="P94" s="13" t="str">
        <x:v>是</x:v>
      </x:c>
      <x:c r="Q94" s="13" t="str">
        <x:v>否</x:v>
      </x:c>
      <x:c r="R94" s="13" t="str">
        <x:v>是</x:v>
      </x:c>
      <x:c r="S94" s="13" t="str">
        <x:v>否</x:v>
      </x:c>
      <x:c r="T94" s="13" t="str">
        <x:v>是</x:v>
      </x:c>
      <x:c r="U94" s="13" t="str">
        <x:v>否</x:v>
      </x:c>
      <x:c r="V94" s="13" t="str">
        <x:v>否</x:v>
      </x:c>
      <x:c r="W94" s="13" t="str">
        <x:v>https://github.com/FFTYYY/sts2-MzmChar-mod/blob/03dc9add4db955351e05bcfce06cf2889f25a695/src/Game/CharacterContent/Cards/TearMaskGold.cs#L46</x:v>
      </x:c>
    </x:row>
    <x:row r="95" ht="48" customHeight="1">
      <x:c r="A95" s="8" t="str">
        <x:v>ThousandthPersona</x:v>
      </x:c>
      <x:c r="B95" s="8" t="str">
        <x:v>第一千个人格</x:v>
      </x:c>
      <x:c r="C95" s="8" t="n">
        <x:v>1</x:v>
      </x:c>
      <x:c r="D95" s="8" t="str">
        <x:v>Power</x:v>
      </x:c>
      <x:c r="E95" s="8" t="str">
        <x:v>Ancient</x:v>
      </x:c>
      <x:c r="F95" s="8" t="str">
        <x:v>每次实际切换，获得本回合2力量和2敏捷。</x:v>
      </x:c>
      <x:c r="G95" s="8" t="str">
        <x:v>增加固有。</x:v>
      </x:c>
      <x:c r="H95" s="8" t="str">
        <x:v>无固定关键词</x:v>
      </x:c>
      <x:c r="I95" s="8" t="str">
        <x:v>切换引擎、力量活力多段、敏捷格挡转化</x:v>
      </x:c>
      <x:c r="J95" s="8" t="str">
        <x:v>Generator / Payoff / Build-around / Bridge</x:v>
      </x:c>
      <x:c r="K95" s="8" t="str">
        <x:v>功能</x:v>
      </x:c>
      <x:c r="L95" s="8" t="str">
        <x:v>先古特殊</x:v>
      </x:c>
      <x:c r="M95" s="8" t="str">
        <x:v>单人可用</x:v>
      </x:c>
      <x:c r="N95" s="8" t="str">
        <x:v>否</x:v>
      </x:c>
      <x:c r="O95" s="8" t="str">
        <x:v>先古稀有度，禁止随机生成；本次未找到源码内的直接获得路径。</x:v>
      </x:c>
      <x:c r="P95" s="8" t="str">
        <x:v>是</x:v>
      </x:c>
      <x:c r="Q95" s="8" t="str">
        <x:v>否</x:v>
      </x:c>
      <x:c r="R95" s="8" t="str">
        <x:v>是</x:v>
      </x:c>
      <x:c r="S95" s="8" t="str">
        <x:v>否</x:v>
      </x:c>
      <x:c r="T95" s="8" t="str">
        <x:v>是</x:v>
      </x:c>
      <x:c r="U95" s="8" t="str">
        <x:v>是</x:v>
      </x:c>
      <x:c r="V95" s="8" t="str">
        <x:v>否</x:v>
      </x:c>
      <x:c r="W95" s="8" t="str">
        <x:v>https://github.com/FFTYYY/sts2-MzmChar-mod/blob/03dc9add4db955351e05bcfce06cf2889f25a695/src/Game/CharacterContent/Cards/ThousandthPersona.cs#L48</x:v>
      </x:c>
    </x:row>
    <x:row r="96" ht="48" customHeight="1">
      <x:c r="A96" s="13" t="str">
        <x:v>Tune</x:v>
      </x:c>
      <x:c r="B96" s="13" t="str">
        <x:v>调音</x:v>
      </x:c>
      <x:c r="C96" s="13" t="n">
        <x:v>1</x:v>
      </x:c>
      <x:c r="D96" s="13" t="str">
        <x:v>Skill</x:v>
      </x:c>
      <x:c r="E96" s="13" t="str">
        <x:v>Common</x:v>
      </x:c>
      <x:c r="F96" s="13" t="str">
        <x:v>获得1热情。睦：8格挡；墨：目标2虚弱。</x:v>
      </x:c>
      <x:c r="G96" s="13" t="str">
        <x:v>格挡8→12；虚弱2→3。</x:v>
      </x:c>
      <x:c r="H96" s="13" t="str">
        <x:v>无固定关键词</x:v>
      </x:c>
      <x:c r="I96" s="13" t="str">
        <x:v>演奏会、敏捷格挡转化</x:v>
      </x:c>
      <x:c r="J96" s="13" t="str">
        <x:v>Generator / Bridge / Utility</x:v>
      </x:c>
      <x:c r="K96" s="13" t="str">
        <x:v>数值</x:v>
      </x:c>
      <x:c r="L96" s="13" t="str">
        <x:v>普通奖励</x:v>
      </x:c>
      <x:c r="M96" s="13" t="str">
        <x:v>单人可用</x:v>
      </x:c>
      <x:c r="N96" s="13" t="str">
        <x:v>否</x:v>
      </x:c>
      <x:c r="O96" s="13" t="str">
        <x:v>热情积累自带防御，能支撑名门或格挡转活力。</x:v>
      </x:c>
      <x:c r="P96" s="13" t="str">
        <x:v>是</x:v>
      </x:c>
      <x:c r="Q96" s="13" t="str">
        <x:v>否</x:v>
      </x:c>
      <x:c r="R96" s="13" t="str">
        <x:v>否</x:v>
      </x:c>
      <x:c r="S96" s="13" t="str">
        <x:v>否</x:v>
      </x:c>
      <x:c r="T96" s="13" t="str">
        <x:v>是</x:v>
      </x:c>
      <x:c r="U96" s="13" t="str">
        <x:v>否</x:v>
      </x:c>
      <x:c r="V96" s="13" t="str">
        <x:v>是</x:v>
      </x:c>
      <x:c r="W96" s="13" t="str">
        <x:v>https://github.com/FFTYYY/sts2-MzmChar-mod/blob/03dc9add4db955351e05bcfce06cf2889f25a695/src/Game/CharacterContent/Cards/Tune.cs#L43</x:v>
      </x:c>
    </x:row>
    <x:row r="97" ht="48" customHeight="1">
      <x:c r="A97" s="8" t="str">
        <x:v>TwinForms</x:v>
      </x:c>
      <x:c r="B97" s="8" t="str">
        <x:v>双生形态</x:v>
      </x:c>
      <x:c r="C97" s="8" t="n">
        <x:v>3</x:v>
      </x:c>
      <x:c r="D97" s="8" t="str">
        <x:v>Power</x:v>
      </x:c>
      <x:c r="E97" s="8" t="str">
        <x:v>Rare</x:v>
      </x:c>
      <x:c r="F97" s="8" t="str">
        <x:v>每回合开始：若睦，随机敌人15伤害后进入墨；若墨，随机敌人2虚弱、2易伤后进入睦。</x:v>
      </x:c>
      <x:c r="G97" s="8" t="str">
        <x:v>伤害15→25；两种减益2→4。</x:v>
      </x:c>
      <x:c r="H97" s="8" t="str">
        <x:v>无固定关键词</x:v>
      </x:c>
      <x:c r="I97" s="8" t="str">
        <x:v>切换引擎</x:v>
      </x:c>
      <x:c r="J97" s="8" t="str">
        <x:v>Enabler / Payoff / Build-around</x:v>
      </x:c>
      <x:c r="K97" s="8" t="str">
        <x:v>数值</x:v>
      </x:c>
      <x:c r="L97" s="8" t="str">
        <x:v>普通奖励</x:v>
      </x:c>
      <x:c r="M97" s="8" t="str">
        <x:v>单人可用</x:v>
      </x:c>
      <x:c r="N97" s="8" t="str">
        <x:v>否</x:v>
      </x:c>
      <x:c r="O97" s="8" t="str">
        <x:v>每份独立触发；单一分支在触发时检查。</x:v>
      </x:c>
      <x:c r="P97" s="8" t="str">
        <x:v>否</x:v>
      </x:c>
      <x:c r="Q97" s="8" t="str">
        <x:v>否</x:v>
      </x:c>
      <x:c r="R97" s="8" t="str">
        <x:v>是</x:v>
      </x:c>
      <x:c r="S97" s="8" t="str">
        <x:v>是</x:v>
      </x:c>
      <x:c r="T97" s="8" t="str">
        <x:v>否</x:v>
      </x:c>
      <x:c r="U97" s="8" t="str">
        <x:v>是</x:v>
      </x:c>
      <x:c r="V97" s="8" t="str">
        <x:v>否</x:v>
      </x:c>
      <x:c r="W97" s="8" t="str">
        <x:v>https://github.com/FFTYYY/sts2-MzmChar-mod/blob/03dc9add4db955351e05bcfce06cf2889f25a695/src/Game/CharacterContent/Cards/TwinForms.cs#L39</x:v>
      </x:c>
    </x:row>
    <x:row r="98" ht="48" customHeight="1">
      <x:c r="A98" s="13" t="str">
        <x:v>WakabaFortune</x:v>
      </x:c>
      <x:c r="B98" s="13" t="str">
        <x:v>若叶家产</x:v>
      </x:c>
      <x:c r="C98" s="13" t="n">
        <x:v>1</x:v>
      </x:c>
      <x:c r="D98" s="13" t="str">
        <x:v>Skill</x:v>
      </x:c>
      <x:c r="E98" s="13" t="str">
        <x:v>Rare</x:v>
      </x:c>
      <x:c r="F98" s="13" t="str">
        <x:v>按打出前本战斗切换总次数，记录每次4金币，于胜利后获得。【消耗】</x:v>
      </x:c>
      <x:c r="G98" s="13" t="str">
        <x:v>额外抽1。</x:v>
      </x:c>
      <x:c r="H98" s="13" t="str">
        <x:v>消耗</x:v>
      </x:c>
      <x:c r="I98" s="13" t="str">
        <x:v>切换引擎</x:v>
      </x:c>
      <x:c r="J98" s="13" t="str">
        <x:v>Payoff / Utility</x:v>
      </x:c>
      <x:c r="K98" s="13" t="str">
        <x:v>功能</x:v>
      </x:c>
      <x:c r="L98" s="13" t="str">
        <x:v>普通奖励</x:v>
      </x:c>
      <x:c r="M98" s="13" t="str">
        <x:v>单人可用</x:v>
      </x:c>
      <x:c r="N98" s="13" t="str">
        <x:v>否</x:v>
      </x:c>
      <x:c r="O98" s="13" t="str">
        <x:v>收益是打出时快照，不会持续监听后续切换。</x:v>
      </x:c>
      <x:c r="P98" s="13" t="str">
        <x:v>否</x:v>
      </x:c>
      <x:c r="Q98" s="13" t="str">
        <x:v>否</x:v>
      </x:c>
      <x:c r="R98" s="13" t="str">
        <x:v>是</x:v>
      </x:c>
      <x:c r="S98" s="13" t="str">
        <x:v>否</x:v>
      </x:c>
      <x:c r="T98" s="13" t="str">
        <x:v>否</x:v>
      </x:c>
      <x:c r="U98" s="13" t="str">
        <x:v>否</x:v>
      </x:c>
      <x:c r="V98" s="13" t="str">
        <x:v>是</x:v>
      </x:c>
      <x:c r="W98" s="13" t="str">
        <x:v>https://github.com/FFTYYY/sts2-MzmChar-mod/blob/03dc9add4db955351e05bcfce06cf2889f25a695/src/Game/CharacterContent/Cards/WakabaFortune.cs#L31</x:v>
      </x:c>
    </x:row>
    <x:row r="99" ht="48" customHeight="1">
      <x:c r="A99" s="8" t="str">
        <x:v>WontLastLong</x:v>
      </x:c>
      <x:c r="B99" s="8" t="str">
        <x:v>不会长久的</x:v>
      </x:c>
      <x:c r="C99" s="8" t="n">
        <x:v>1</x:v>
      </x:c>
      <x:c r="D99" s="8" t="str">
        <x:v>Power</x:v>
      </x:c>
      <x:c r="E99" s="8" t="str">
        <x:v>Rare</x:v>
      </x:c>
      <x:c r="F99" s="8" t="str">
        <x:v>睦：25活力并进入墨，此后每打出1张牌本回合-1力量；墨：3无实体并进入睦，此后每打出1张牌本回合-1敏捷。</x:v>
      </x:c>
      <x:c r="G99" s="8" t="str">
        <x:v>两种负面计数均改为每2张触发。</x:v>
      </x:c>
      <x:c r="H99" s="8" t="str">
        <x:v>无固定关键词</x:v>
      </x:c>
      <x:c r="I99" s="8" t="str">
        <x:v>切换引擎、力量活力多段</x:v>
      </x:c>
      <x:c r="J99" s="8" t="str">
        <x:v>Generator / Enabler / Build-around / Bridge</x:v>
      </x:c>
      <x:c r="K99" s="8" t="str">
        <x:v>数值</x:v>
      </x:c>
      <x:c r="L99" s="8" t="str">
        <x:v>普通奖励</x:v>
      </x:c>
      <x:c r="M99" s="8" t="str">
        <x:v>单人可用</x:v>
      </x:c>
      <x:c r="N99" s="8" t="str">
        <x:v>否</x:v>
      </x:c>
      <x:c r="O99" s="8" t="str">
        <x:v>本牌自身不计入新负面计数；计数器可跨回合延续，扣属性在回合末恢复。</x:v>
      </x:c>
      <x:c r="P99" s="8" t="str">
        <x:v>是</x:v>
      </x:c>
      <x:c r="Q99" s="8" t="str">
        <x:v>否</x:v>
      </x:c>
      <x:c r="R99" s="8" t="str">
        <x:v>否</x:v>
      </x:c>
      <x:c r="S99" s="8" t="str">
        <x:v>是</x:v>
      </x:c>
      <x:c r="T99" s="8" t="str">
        <x:v>是</x:v>
      </x:c>
      <x:c r="U99" s="8" t="str">
        <x:v>是</x:v>
      </x:c>
      <x:c r="V99" s="8" t="str">
        <x:v>否</x:v>
      </x:c>
      <x:c r="W99" s="8" t="str">
        <x:v>https://github.com/FFTYYY/sts2-MzmChar-mod/blob/03dc9add4db955351e05bcfce06cf2889f25a695/src/Game/CharacterContent/Cards/WontLastLong.cs#L49</x:v>
      </x:c>
    </x:row>
  </x:sheetData>
  <x:pageMargins left="0.7" right="0.7" top="0.75" bottom="0.75" header="0.3" footer="0.3"/>
  <x:tableParts count="1">
    <x:tablePart xmlns:r="http://schemas.openxmlformats.org/officeDocument/2006/relationships" r:id="R1d20f9000cd748ea"/>
  </x:tableParts>
</x:worksheet>
</file>